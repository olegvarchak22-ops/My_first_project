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Final project\Final_project prezentation\"/>
    </mc:Choice>
  </mc:AlternateContent>
  <xr:revisionPtr revIDLastSave="0" documentId="13_ncr:1_{2AAFCB48-D1F1-47AF-AAA3-76D9CEF9DBC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Завдання 2" sheetId="2" r:id="rId1"/>
    <sheet name="Відділи" sheetId="3" r:id="rId2"/>
    <sheet name="Дані" sheetId="8" r:id="rId3"/>
    <sheet name="Зведена таблиця" sheetId="18" r:id="rId4"/>
    <sheet name="Дашборд" sheetId="12" r:id="rId5"/>
  </sheets>
  <definedNames>
    <definedName name="_xlnm._FilterDatabase" localSheetId="0" hidden="1">'Завдання 2'!$B$16:$N$17</definedName>
    <definedName name="Роздільник_Відділ">#N/A</definedName>
    <definedName name="Роздільник_Діапазон_стажу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qtuiw1gT33UHJfbncXb8XYFwU9Hwz9DfkudDjofZwYE="/>
    </ext>
  </extLst>
</workbook>
</file>

<file path=xl/calcChain.xml><?xml version="1.0" encoding="utf-8"?>
<calcChain xmlns="http://schemas.openxmlformats.org/spreadsheetml/2006/main">
  <c r="N19" i="2" l="1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8" i="2"/>
  <c r="O16" i="8"/>
  <c r="L18" i="2"/>
  <c r="K3" i="8" a="1"/>
  <c r="K3" i="8" s="1"/>
  <c r="Q18" i="2" l="1" a="1"/>
  <c r="Q18" i="2" s="1"/>
  <c r="O12" i="2" a="1"/>
  <c r="O12" i="2" s="1"/>
  <c r="O11" i="2"/>
  <c r="O10" i="2"/>
  <c r="O7" i="2"/>
  <c r="O6" i="2"/>
  <c r="O26" i="2"/>
  <c r="O117" i="2"/>
  <c r="O90" i="2"/>
  <c r="O76" i="2"/>
  <c r="O34" i="2"/>
  <c r="O63" i="2"/>
  <c r="O70" i="2"/>
  <c r="O47" i="2"/>
  <c r="O21" i="2"/>
  <c r="O96" i="2"/>
  <c r="O64" i="2"/>
  <c r="O112" i="2"/>
  <c r="O20" i="2"/>
  <c r="O45" i="2"/>
  <c r="O73" i="2"/>
  <c r="O107" i="2"/>
  <c r="O94" i="2"/>
  <c r="O31" i="2"/>
  <c r="O28" i="2"/>
  <c r="O42" i="2"/>
  <c r="O82" i="2"/>
  <c r="O79" i="2"/>
  <c r="O60" i="2"/>
  <c r="O81" i="2"/>
  <c r="O38" i="2"/>
  <c r="O59" i="2"/>
  <c r="O113" i="2"/>
  <c r="O101" i="2"/>
  <c r="O65" i="2"/>
  <c r="O41" i="2"/>
  <c r="O87" i="2"/>
  <c r="O85" i="2"/>
  <c r="O67" i="2"/>
  <c r="O55" i="2"/>
  <c r="O103" i="2"/>
  <c r="O27" i="2"/>
  <c r="O72" i="2"/>
  <c r="O114" i="2"/>
  <c r="O51" i="2"/>
  <c r="O33" i="2"/>
  <c r="O49" i="2"/>
  <c r="O54" i="2"/>
  <c r="O61" i="2"/>
  <c r="O30" i="2"/>
  <c r="O40" i="2"/>
  <c r="O23" i="2"/>
  <c r="O43" i="2"/>
  <c r="O19" i="2"/>
  <c r="O98" i="2"/>
  <c r="O111" i="2"/>
  <c r="O48" i="2"/>
  <c r="O100" i="2"/>
  <c r="O58" i="2"/>
  <c r="O52" i="2"/>
  <c r="O29" i="2"/>
  <c r="O116" i="2"/>
  <c r="O69" i="2"/>
  <c r="O91" i="2"/>
  <c r="O80" i="2"/>
  <c r="O104" i="2"/>
  <c r="O86" i="2"/>
  <c r="O22" i="2"/>
  <c r="O106" i="2"/>
  <c r="O71" i="2"/>
  <c r="O44" i="2"/>
  <c r="O68" i="2"/>
  <c r="O83" i="2"/>
  <c r="O89" i="2"/>
  <c r="O53" i="2"/>
  <c r="O95" i="2"/>
  <c r="O35" i="2"/>
  <c r="O88" i="2"/>
  <c r="O78" i="2"/>
  <c r="O39" i="2"/>
  <c r="O97" i="2"/>
  <c r="O46" i="2"/>
  <c r="O24" i="2"/>
  <c r="O75" i="2"/>
  <c r="O110" i="2"/>
  <c r="O102" i="2"/>
  <c r="O115" i="2"/>
  <c r="O109" i="2"/>
  <c r="O50" i="2"/>
  <c r="O25" i="2"/>
  <c r="O77" i="2"/>
  <c r="O66" i="2"/>
  <c r="O105" i="2"/>
  <c r="O99" i="2"/>
  <c r="O56" i="2"/>
  <c r="O84" i="2"/>
  <c r="O92" i="2"/>
  <c r="O57" i="2"/>
  <c r="O93" i="2"/>
  <c r="O36" i="2"/>
  <c r="O74" i="2"/>
  <c r="O62" i="2"/>
  <c r="O32" i="2"/>
  <c r="O108" i="2"/>
  <c r="O18" i="2"/>
  <c r="O37" i="2"/>
  <c r="O8" i="2" a="1"/>
  <c r="O8" i="2" s="1"/>
  <c r="O5" i="2"/>
  <c r="L90" i="2"/>
  <c r="L76" i="2"/>
  <c r="L34" i="2"/>
  <c r="L63" i="2"/>
  <c r="L70" i="2"/>
  <c r="L47" i="2"/>
  <c r="L21" i="2"/>
  <c r="L96" i="2"/>
  <c r="L64" i="2"/>
  <c r="L112" i="2"/>
  <c r="L20" i="2"/>
  <c r="L45" i="2"/>
  <c r="L73" i="2"/>
  <c r="L107" i="2"/>
  <c r="L94" i="2"/>
  <c r="L31" i="2"/>
  <c r="L28" i="2"/>
  <c r="L42" i="2"/>
  <c r="L82" i="2"/>
  <c r="L79" i="2"/>
  <c r="L60" i="2"/>
  <c r="L81" i="2"/>
  <c r="L38" i="2"/>
  <c r="L59" i="2"/>
  <c r="L113" i="2"/>
  <c r="L101" i="2"/>
  <c r="L65" i="2"/>
  <c r="L41" i="2"/>
  <c r="L87" i="2"/>
  <c r="L85" i="2"/>
  <c r="L67" i="2"/>
  <c r="L55" i="2"/>
  <c r="L103" i="2"/>
  <c r="L27" i="2"/>
  <c r="L72" i="2"/>
  <c r="L114" i="2"/>
  <c r="L51" i="2"/>
  <c r="L33" i="2"/>
  <c r="L49" i="2"/>
  <c r="L54" i="2"/>
  <c r="L61" i="2"/>
  <c r="L30" i="2"/>
  <c r="L40" i="2"/>
  <c r="L23" i="2"/>
  <c r="L43" i="2"/>
  <c r="L19" i="2"/>
  <c r="L98" i="2"/>
  <c r="L111" i="2"/>
  <c r="L48" i="2"/>
  <c r="L100" i="2"/>
  <c r="L58" i="2"/>
  <c r="L52" i="2"/>
  <c r="L29" i="2"/>
  <c r="L116" i="2"/>
  <c r="L69" i="2"/>
  <c r="L91" i="2"/>
  <c r="L80" i="2"/>
  <c r="L104" i="2"/>
  <c r="L86" i="2"/>
  <c r="L22" i="2"/>
  <c r="L106" i="2"/>
  <c r="L71" i="2"/>
  <c r="L44" i="2"/>
  <c r="L68" i="2"/>
  <c r="L83" i="2"/>
  <c r="L89" i="2"/>
  <c r="L53" i="2"/>
  <c r="L95" i="2"/>
  <c r="L35" i="2"/>
  <c r="L88" i="2"/>
  <c r="L78" i="2"/>
  <c r="L39" i="2"/>
  <c r="L97" i="2"/>
  <c r="L46" i="2"/>
  <c r="L24" i="2"/>
  <c r="L75" i="2"/>
  <c r="L110" i="2"/>
  <c r="L102" i="2"/>
  <c r="L115" i="2"/>
  <c r="L109" i="2"/>
  <c r="L50" i="2"/>
  <c r="L25" i="2"/>
  <c r="L77" i="2"/>
  <c r="L66" i="2"/>
  <c r="L105" i="2"/>
  <c r="L99" i="2"/>
  <c r="L56" i="2"/>
  <c r="L84" i="2"/>
  <c r="L92" i="2"/>
  <c r="L57" i="2"/>
  <c r="L93" i="2"/>
  <c r="L36" i="2"/>
  <c r="L74" i="2"/>
  <c r="L62" i="2"/>
  <c r="L32" i="2"/>
  <c r="L108" i="2"/>
  <c r="L37" i="2"/>
  <c r="L117" i="2"/>
  <c r="H90" i="2"/>
  <c r="I90" i="2" s="1"/>
  <c r="H76" i="2"/>
  <c r="I76" i="2" s="1"/>
  <c r="H34" i="2"/>
  <c r="I34" i="2" s="1"/>
  <c r="H63" i="2"/>
  <c r="I63" i="2" s="1"/>
  <c r="H70" i="2"/>
  <c r="I70" i="2" s="1"/>
  <c r="H47" i="2"/>
  <c r="I47" i="2" s="1"/>
  <c r="H21" i="2"/>
  <c r="I21" i="2" s="1"/>
  <c r="H96" i="2"/>
  <c r="I96" i="2" s="1"/>
  <c r="H64" i="2"/>
  <c r="I64" i="2" s="1"/>
  <c r="H112" i="2"/>
  <c r="I112" i="2" s="1"/>
  <c r="H20" i="2"/>
  <c r="I20" i="2" s="1"/>
  <c r="H45" i="2"/>
  <c r="I45" i="2" s="1"/>
  <c r="H73" i="2"/>
  <c r="I73" i="2" s="1"/>
  <c r="H107" i="2"/>
  <c r="I107" i="2" s="1"/>
  <c r="H94" i="2"/>
  <c r="I94" i="2" s="1"/>
  <c r="H31" i="2"/>
  <c r="I31" i="2" s="1"/>
  <c r="H28" i="2"/>
  <c r="I28" i="2" s="1"/>
  <c r="H42" i="2"/>
  <c r="I42" i="2" s="1"/>
  <c r="H82" i="2"/>
  <c r="I82" i="2" s="1"/>
  <c r="H79" i="2"/>
  <c r="I79" i="2" s="1"/>
  <c r="H60" i="2"/>
  <c r="I60" i="2" s="1"/>
  <c r="H81" i="2"/>
  <c r="I81" i="2" s="1"/>
  <c r="H38" i="2"/>
  <c r="I38" i="2" s="1"/>
  <c r="H59" i="2"/>
  <c r="I59" i="2" s="1"/>
  <c r="H113" i="2"/>
  <c r="I113" i="2" s="1"/>
  <c r="H101" i="2"/>
  <c r="I101" i="2" s="1"/>
  <c r="H65" i="2"/>
  <c r="I65" i="2" s="1"/>
  <c r="H41" i="2"/>
  <c r="I41" i="2" s="1"/>
  <c r="H87" i="2"/>
  <c r="I87" i="2" s="1"/>
  <c r="H85" i="2"/>
  <c r="I85" i="2" s="1"/>
  <c r="H67" i="2"/>
  <c r="I67" i="2" s="1"/>
  <c r="H55" i="2"/>
  <c r="I55" i="2" s="1"/>
  <c r="H103" i="2"/>
  <c r="I103" i="2" s="1"/>
  <c r="H27" i="2"/>
  <c r="I27" i="2" s="1"/>
  <c r="H72" i="2"/>
  <c r="I72" i="2" s="1"/>
  <c r="H114" i="2"/>
  <c r="I114" i="2" s="1"/>
  <c r="H51" i="2"/>
  <c r="I51" i="2" s="1"/>
  <c r="H33" i="2"/>
  <c r="I33" i="2" s="1"/>
  <c r="H49" i="2"/>
  <c r="I49" i="2" s="1"/>
  <c r="H54" i="2"/>
  <c r="I54" i="2" s="1"/>
  <c r="H61" i="2"/>
  <c r="I61" i="2" s="1"/>
  <c r="H30" i="2"/>
  <c r="I30" i="2" s="1"/>
  <c r="H40" i="2"/>
  <c r="I40" i="2" s="1"/>
  <c r="H23" i="2"/>
  <c r="I23" i="2" s="1"/>
  <c r="H43" i="2"/>
  <c r="I43" i="2" s="1"/>
  <c r="H19" i="2"/>
  <c r="I19" i="2" s="1"/>
  <c r="H98" i="2"/>
  <c r="I98" i="2" s="1"/>
  <c r="H111" i="2"/>
  <c r="I111" i="2" s="1"/>
  <c r="H48" i="2"/>
  <c r="I48" i="2" s="1"/>
  <c r="H100" i="2"/>
  <c r="I100" i="2" s="1"/>
  <c r="H58" i="2"/>
  <c r="I58" i="2" s="1"/>
  <c r="H52" i="2"/>
  <c r="I52" i="2" s="1"/>
  <c r="H29" i="2"/>
  <c r="I29" i="2" s="1"/>
  <c r="H116" i="2"/>
  <c r="I116" i="2" s="1"/>
  <c r="H69" i="2"/>
  <c r="I69" i="2" s="1"/>
  <c r="H91" i="2"/>
  <c r="I91" i="2" s="1"/>
  <c r="H80" i="2"/>
  <c r="I80" i="2" s="1"/>
  <c r="H104" i="2"/>
  <c r="I104" i="2" s="1"/>
  <c r="H86" i="2"/>
  <c r="I86" i="2" s="1"/>
  <c r="H22" i="2"/>
  <c r="I22" i="2" s="1"/>
  <c r="H106" i="2"/>
  <c r="I106" i="2" s="1"/>
  <c r="H71" i="2"/>
  <c r="I71" i="2" s="1"/>
  <c r="H44" i="2"/>
  <c r="I44" i="2" s="1"/>
  <c r="H68" i="2"/>
  <c r="I68" i="2" s="1"/>
  <c r="H83" i="2"/>
  <c r="I83" i="2" s="1"/>
  <c r="H89" i="2"/>
  <c r="I89" i="2" s="1"/>
  <c r="H53" i="2"/>
  <c r="I53" i="2" s="1"/>
  <c r="H95" i="2"/>
  <c r="I95" i="2" s="1"/>
  <c r="H35" i="2"/>
  <c r="I35" i="2" s="1"/>
  <c r="H88" i="2"/>
  <c r="I88" i="2" s="1"/>
  <c r="H78" i="2"/>
  <c r="I78" i="2" s="1"/>
  <c r="H39" i="2"/>
  <c r="I39" i="2" s="1"/>
  <c r="H97" i="2"/>
  <c r="I97" i="2" s="1"/>
  <c r="H46" i="2"/>
  <c r="I46" i="2" s="1"/>
  <c r="H24" i="2"/>
  <c r="I24" i="2" s="1"/>
  <c r="H75" i="2"/>
  <c r="I75" i="2" s="1"/>
  <c r="H110" i="2"/>
  <c r="I110" i="2" s="1"/>
  <c r="H102" i="2"/>
  <c r="I102" i="2" s="1"/>
  <c r="H115" i="2"/>
  <c r="I115" i="2" s="1"/>
  <c r="H109" i="2"/>
  <c r="I109" i="2" s="1"/>
  <c r="H50" i="2"/>
  <c r="I50" i="2" s="1"/>
  <c r="H25" i="2"/>
  <c r="I25" i="2" s="1"/>
  <c r="H77" i="2"/>
  <c r="I77" i="2" s="1"/>
  <c r="H66" i="2"/>
  <c r="I66" i="2" s="1"/>
  <c r="H105" i="2"/>
  <c r="I105" i="2" s="1"/>
  <c r="H99" i="2"/>
  <c r="I99" i="2" s="1"/>
  <c r="H56" i="2"/>
  <c r="I56" i="2" s="1"/>
  <c r="H84" i="2"/>
  <c r="I84" i="2" s="1"/>
  <c r="H92" i="2"/>
  <c r="I92" i="2" s="1"/>
  <c r="H57" i="2"/>
  <c r="I57" i="2" s="1"/>
  <c r="H93" i="2"/>
  <c r="I93" i="2" s="1"/>
  <c r="H36" i="2"/>
  <c r="I36" i="2" s="1"/>
  <c r="H74" i="2"/>
  <c r="I74" i="2" s="1"/>
  <c r="H62" i="2"/>
  <c r="I62" i="2" s="1"/>
  <c r="H32" i="2"/>
  <c r="I32" i="2" s="1"/>
  <c r="H108" i="2"/>
  <c r="I108" i="2" s="1"/>
  <c r="H18" i="2"/>
  <c r="I18" i="2" s="1"/>
  <c r="H37" i="2"/>
  <c r="I37" i="2" s="1"/>
  <c r="H117" i="2"/>
  <c r="I117" i="2" s="1"/>
  <c r="P17" i="2" l="1"/>
  <c r="G90" i="2"/>
  <c r="G76" i="2"/>
  <c r="G34" i="2"/>
  <c r="G63" i="2"/>
  <c r="G70" i="2"/>
  <c r="G47" i="2"/>
  <c r="G21" i="2"/>
  <c r="G96" i="2"/>
  <c r="G64" i="2"/>
  <c r="G112" i="2"/>
  <c r="G20" i="2"/>
  <c r="G45" i="2"/>
  <c r="G73" i="2"/>
  <c r="G107" i="2"/>
  <c r="G94" i="2"/>
  <c r="G31" i="2"/>
  <c r="G28" i="2"/>
  <c r="G42" i="2"/>
  <c r="G82" i="2"/>
  <c r="G79" i="2"/>
  <c r="G60" i="2"/>
  <c r="G81" i="2"/>
  <c r="G38" i="2"/>
  <c r="G59" i="2"/>
  <c r="G113" i="2"/>
  <c r="G101" i="2"/>
  <c r="G65" i="2"/>
  <c r="G41" i="2"/>
  <c r="G87" i="2"/>
  <c r="G85" i="2"/>
  <c r="G67" i="2"/>
  <c r="G55" i="2"/>
  <c r="G103" i="2"/>
  <c r="G27" i="2"/>
  <c r="G72" i="2"/>
  <c r="G114" i="2"/>
  <c r="G51" i="2"/>
  <c r="G33" i="2"/>
  <c r="G49" i="2"/>
  <c r="G54" i="2"/>
  <c r="G61" i="2"/>
  <c r="G30" i="2"/>
  <c r="G40" i="2"/>
  <c r="G23" i="2"/>
  <c r="G43" i="2"/>
  <c r="G19" i="2"/>
  <c r="G98" i="2"/>
  <c r="G111" i="2"/>
  <c r="G48" i="2"/>
  <c r="G100" i="2"/>
  <c r="G58" i="2"/>
  <c r="G52" i="2"/>
  <c r="G29" i="2"/>
  <c r="G116" i="2"/>
  <c r="G69" i="2"/>
  <c r="G91" i="2"/>
  <c r="G80" i="2"/>
  <c r="G104" i="2"/>
  <c r="G86" i="2"/>
  <c r="G22" i="2"/>
  <c r="G106" i="2"/>
  <c r="G71" i="2"/>
  <c r="G44" i="2"/>
  <c r="G68" i="2"/>
  <c r="G83" i="2"/>
  <c r="G89" i="2"/>
  <c r="G53" i="2"/>
  <c r="G95" i="2"/>
  <c r="G35" i="2"/>
  <c r="G88" i="2"/>
  <c r="G78" i="2"/>
  <c r="G39" i="2"/>
  <c r="G97" i="2"/>
  <c r="G46" i="2"/>
  <c r="G24" i="2"/>
  <c r="G75" i="2"/>
  <c r="G110" i="2"/>
  <c r="G102" i="2"/>
  <c r="G115" i="2"/>
  <c r="G109" i="2"/>
  <c r="G50" i="2"/>
  <c r="G25" i="2"/>
  <c r="G77" i="2"/>
  <c r="G66" i="2"/>
  <c r="G105" i="2"/>
  <c r="G99" i="2"/>
  <c r="G56" i="2"/>
  <c r="G84" i="2"/>
  <c r="G92" i="2"/>
  <c r="G57" i="2"/>
  <c r="G93" i="2"/>
  <c r="G36" i="2"/>
  <c r="G74" i="2"/>
  <c r="G62" i="2"/>
  <c r="G32" i="2"/>
  <c r="G108" i="2"/>
  <c r="G18" i="2"/>
  <c r="G37" i="2"/>
  <c r="G117" i="2"/>
  <c r="O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<sst xmlns="http://schemas.openxmlformats.org/spreadsheetml/2006/main" count="1299" uniqueCount="487">
  <si>
    <t>Завдання. (у першому рядку приклад для заповнення)</t>
  </si>
  <si>
    <t>1. Перенесіть у стовпці D та E імена та по батькові співробітників зі стовпця C, у стовпці C залиште лише прізвище.</t>
  </si>
  <si>
    <t>Таблиця 2.</t>
  </si>
  <si>
    <t>2. У стовпці G вкажіть гендерну приналежність працівників.</t>
  </si>
  <si>
    <t>№</t>
  </si>
  <si>
    <t>Показник</t>
  </si>
  <si>
    <t>Значення</t>
  </si>
  <si>
    <t>3. У стовпці H вкажіть вік працівників на дату прийому на роботу (кількість повних років).</t>
  </si>
  <si>
    <t>Кількість працюючих на дату звіту</t>
  </si>
  <si>
    <t>4. У стовпці I вкажіть, чи досяг працівник пенсійного віку на момент прийому на роботу, якщо пенсійний вік становить 60 років.</t>
  </si>
  <si>
    <t>Кількість звільнених на дату звіту</t>
  </si>
  <si>
    <t>Кількість звільнених на 01.01.2009</t>
  </si>
  <si>
    <t>5. Заповніть стовпець L; якщо в стовпці K дата звільнення відсутня, то розрахуйте стаж на дату звіту (клітинка F14).</t>
  </si>
  <si>
    <t>Середній вік звільнених</t>
  </si>
  <si>
    <t>6. Налаштуйте сортування Таблиці 1 за Відділом, Прізвищем.</t>
  </si>
  <si>
    <t>Працівників якої статі більше звільнили</t>
  </si>
  <si>
    <t>7. Додайте стовпець "Відділ", в який додайте відповідні значення для кожного співробітника з аркуша "Відділи".</t>
  </si>
  <si>
    <t>Кількість співробітників із прізвищем, яке починається на "Р"</t>
  </si>
  <si>
    <t>8. Заповніть в Таблиці 2 стовпець "Значення" за допомогою формул.</t>
  </si>
  <si>
    <t>Кількість причин звільнення</t>
  </si>
  <si>
    <t>Найчастіша причина звільнення</t>
  </si>
  <si>
    <t>Таблиця 1. Звіт про стаж роботи співробітників, в тому числі звільнених на</t>
  </si>
  <si>
    <t>ПІБ співробітника</t>
  </si>
  <si>
    <t>Дата народження</t>
  </si>
  <si>
    <t>Стать</t>
  </si>
  <si>
    <t>Вік на момент прийому на роботу</t>
  </si>
  <si>
    <t>Пенсійний вік</t>
  </si>
  <si>
    <t>Дата прийому на роботу</t>
  </si>
  <si>
    <t>Дата звільнення</t>
  </si>
  <si>
    <t>Стаж</t>
  </si>
  <si>
    <t>Причина звільнення</t>
  </si>
  <si>
    <t>Прізвище</t>
  </si>
  <si>
    <t>Ім'я</t>
  </si>
  <si>
    <t>По батькові</t>
  </si>
  <si>
    <t>Мельник</t>
  </si>
  <si>
    <t>Андрій</t>
  </si>
  <si>
    <t>Андрійович</t>
  </si>
  <si>
    <t>чоловіча</t>
  </si>
  <si>
    <t>ні</t>
  </si>
  <si>
    <t>9р.3м.19д.</t>
  </si>
  <si>
    <t>ШЕВЧЕНКО ТАРАС ГРИГОРОВИЧ</t>
  </si>
  <si>
    <t>за згодою сторін</t>
  </si>
  <si>
    <t>КОВАЛЕНКО АННА МИКОЛАЇВНА</t>
  </si>
  <si>
    <t>за власним бажанням</t>
  </si>
  <si>
    <t>БОНДАРЕНКО ОЛЕНА АНАТОЛІЇВНА</t>
  </si>
  <si>
    <t>БОЙКО ЮРІЙ АНАТОЛІЙОВИЧ</t>
  </si>
  <si>
    <t>ТКАЧЕНКО ОЛЕКСАНДР МИКОЛАЙОВИЧ</t>
  </si>
  <si>
    <t>КРАВЧЕНКО ВІКТОР АНДРІЙОВИЧ</t>
  </si>
  <si>
    <t>КОВАЛЬЧУК КИРИЛО СЕРГІЙОВИЧ</t>
  </si>
  <si>
    <t>не відповідність</t>
  </si>
  <si>
    <t>КОВАЛЬ ОЛЕКСАНДР ІВАНОВИЧ</t>
  </si>
  <si>
    <t>ОЛІЙНИК БОРИС ІЛЛІЧ</t>
  </si>
  <si>
    <t>ШЕВЧУК СВЯТОСЛАВ ЮРІЙОВИЧ</t>
  </si>
  <si>
    <t>ПОЛІЩУК КАТЕРИНА ОЛЕКСАНДРІВНА</t>
  </si>
  <si>
    <t>ІВАНОВА АНТОНІНА МИКОЛАЇВНА</t>
  </si>
  <si>
    <t>ТКАЧУК ГЕННАДІЙ ВІТАЛІЙОВИЧ</t>
  </si>
  <si>
    <t>САВЧЕНКО НАДІЯ ВІКТОРІВНА</t>
  </si>
  <si>
    <t>БОНДАР ВІКТОР ВАСИЛЬОВИЧ</t>
  </si>
  <si>
    <t>МАРЧЕНКО ОКСАНА МИХАЙЛІВНА</t>
  </si>
  <si>
    <t>РУДЕНКО БЕЛА АНДРІЇВНА</t>
  </si>
  <si>
    <t>завершення трудового договору</t>
  </si>
  <si>
    <t>МОРОЗ ОЛЕКСАНДР ОЛЕКСАНДРОВИЧ</t>
  </si>
  <si>
    <t>ЛИСЕНКО МИКОЛА ВІТАЛІЙОВИЧ</t>
  </si>
  <si>
    <t>ПЕТРЕНКО МИХАЙЛО МИКОЛАЙОВИЧ</t>
  </si>
  <si>
    <t>скорочення штату</t>
  </si>
  <si>
    <t>КЛИМЕНКО ОЛЕКСАНДР ВІКТОРОВИЧ</t>
  </si>
  <si>
    <t>ПАВЛЕНКО ВІКТОР ОЛЕКСІЙОВИЧ</t>
  </si>
  <si>
    <t>КРАВЧУК ЛЕОНІД МАКАРОВИЧ</t>
  </si>
  <si>
    <t>ІВАНОВ МИКОЛА КУЗЬМИЧ</t>
  </si>
  <si>
    <t>КУЗЬМЕНКО ЮЛІЯ ЛЕОНІДІВНА</t>
  </si>
  <si>
    <t>ПОНОМАРЕНКО ЄВГЕН ПОРФИРОВИЧ</t>
  </si>
  <si>
    <t>САВЧУК ОЛЬГА МИКОЛАЇВНА</t>
  </si>
  <si>
    <t>ВАСИЛЕНКО МИКОЛА ПРОКОПОВИЧ</t>
  </si>
  <si>
    <t>ЛЕВЧЕНКО ЮЛІЯ АНДРІЇВНА</t>
  </si>
  <si>
    <t>ХАРЧЕНКО МАРІЯ ФЕДОРІВНА</t>
  </si>
  <si>
    <t>СИДОРЕНКО ВІКТОР ДМИТРОВИЧ</t>
  </si>
  <si>
    <t>КАРПЕНКО ВІТАЛІЙ ОПАНАСОВИЧ</t>
  </si>
  <si>
    <t>ГАВРИЛЮК МИХАЙЛО ВІТАЛІЙОВИЧ</t>
  </si>
  <si>
    <t>ШВЕЦЬ ОЛЬГА МИКОЛАЇВНА</t>
  </si>
  <si>
    <t>МЕЛЬНИЧУК ЛЮДМИЛА ОЛЕКСАНДРІВНА</t>
  </si>
  <si>
    <t>порушення трудового договору</t>
  </si>
  <si>
    <t>ПОПОВА НАДІЯ МАРКІВНА</t>
  </si>
  <si>
    <t>РОМАНЮК ВОЛОДИМИР ОМЕЛЯНОВИЧ</t>
  </si>
  <si>
    <t>ПАНЧЕНКО ЛЮБОВ МИХАЙЛІВНА</t>
  </si>
  <si>
    <t>ЮРЧЕНКО АНАТОЛІЙ ПЕТРОВИЧ</t>
  </si>
  <si>
    <t>МАЗУР АЛЛА ГРИГОРІВНА</t>
  </si>
  <si>
    <t>ХОМЕНКО МИКОЛА ГРИГОРОВИЧ</t>
  </si>
  <si>
    <t>ПОПОВИЧ ПАВЛО РОМАНОВИЧ</t>
  </si>
  <si>
    <t>ПАВЛЮК ПАВЛО МИХНОВИЧ</t>
  </si>
  <si>
    <t>КУШНІР ІГОР МИКОЛАЙОВИЧ</t>
  </si>
  <si>
    <t>ЛИТВИНЕНКО МАРІЯ ІВАНІВНА</t>
  </si>
  <si>
    <t>МАРТИНЮК АДАМ ІВАНОВИЧ</t>
  </si>
  <si>
    <t>ГОНЧАРЕНКО НІНА ІВАНІВНА</t>
  </si>
  <si>
    <t>ПРИХОДЬКО АНАСТАСІЯ КОСТЯНТИНІВНА</t>
  </si>
  <si>
    <t>КОСТЕНКО ЛІНА ВАСИЛІВНА</t>
  </si>
  <si>
    <t>КУЛИК ГРИГОРІЙ ІВАНОВИЧ</t>
  </si>
  <si>
    <t>РОМАНЕНКО ВІКТОР ДМИТРОВИЧ</t>
  </si>
  <si>
    <t>КОСТЮК МАРТА ОЛЕГІВНА</t>
  </si>
  <si>
    <t>СЕМЕНЮК ВАЛЕНТИНА ПЕТРІВНА</t>
  </si>
  <si>
    <t>НАЗАРЕНКО СЕРГІЙ ЮРІЙОВИЧ</t>
  </si>
  <si>
    <t>ТКАЧ МИХАЙЛО МИКОЛАЙОВИЧ</t>
  </si>
  <si>
    <t>КРАВЕЦЬ ІНЕСА МИКОЛАЇВНА</t>
  </si>
  <si>
    <t>КОЛОМІЄЦЬ ВОЛОДИМИР РОДІОНОВИЧ</t>
  </si>
  <si>
    <t>КОЗАК ТАРАС РОМАНОВИЧ</t>
  </si>
  <si>
    <t>ЯКОВЕНКО ПАВЛО ОЛЕКСАНДРОВИЧ</t>
  </si>
  <si>
    <t>ФЕДОРЕНКО БОРИС МИХАЙЛОВИЧ</t>
  </si>
  <si>
    <t>КОВТУН ІЛЛЯ ЮРІЙОВИЧ</t>
  </si>
  <si>
    <t>БІЛОУС ДМИТРО ГРИГОРОВИЧ</t>
  </si>
  <si>
    <t>НЕСТЕРЕНКО ОЛЕКСАНДР ВОЛОДИМИРОВИЧ</t>
  </si>
  <si>
    <t>ТЕРЕЩЕНКО МИХАЙЛО ІВАНОВИЧ</t>
  </si>
  <si>
    <t>КОЛЕСНИК ЄВДОКІЯ ВАСИЛІВНА</t>
  </si>
  <si>
    <t>ПОПОВ ЛЕОНІД ІВАНОВИЧ</t>
  </si>
  <si>
    <t>ЗІНЧЕНКО ОЛЕКСАНДР ВОЛОДИМИРОВИЧ</t>
  </si>
  <si>
    <t>ТАРАСЕНКО КАТЕРИНА МИКОЛАЇВНА</t>
  </si>
  <si>
    <t>МІЩЕНКО ЮЛІЯ ВАЛЕРІЇВНА</t>
  </si>
  <si>
    <t>ВОВК ФЕДІР КІНДРАТОВИЧ</t>
  </si>
  <si>
    <t>ДЕМЧЕНКО ТЕТЯНА ВАСИЛІВНА</t>
  </si>
  <si>
    <t>ДЯЧЕНКО АНАТОЛІЙ МИКОЛАЙОВИЧ</t>
  </si>
  <si>
    <t>КОВАЛЬОВА ІРИНА ФЕДОРІВНА</t>
  </si>
  <si>
    <t>ПИЛИПЕНКО ЮЛІЯ ВІКТОРІВНА</t>
  </si>
  <si>
    <t>ІЩЕНКО МИХАЙЛО ОЛЕКСІЙОВИЧ</t>
  </si>
  <si>
    <t>МАКАРЕНКО АНТОН СЕМЕНОВИЧ</t>
  </si>
  <si>
    <t>БАБЕНКО МИКОЛА АНДРІЙОВИЧ</t>
  </si>
  <si>
    <t>КИРИЧЕНКО РАЇСА ОПАНАСІВНА</t>
  </si>
  <si>
    <t>ТИЩЕНКО МИКОЛА МИКОЛАЙОВИЧ</t>
  </si>
  <si>
    <t>ТИМОШЕНКО ЮЛІЯ ВОЛОДИМИРІВНА</t>
  </si>
  <si>
    <t>ЖУК СЕРГІЙ ЯКОВИЧ</t>
  </si>
  <si>
    <t>МОСКАЛЕНКО ЛАРИСА ВІТАЛІЇВНА</t>
  </si>
  <si>
    <t>МАРЧУК ЄВГЕН КИРИЛОВИЧ</t>
  </si>
  <si>
    <t>ВЛАСЕНКО СЕРГІЙ ВОЛОДИМИРОВИЧ</t>
  </si>
  <si>
    <t>ГУМЕНЮК НАТАЛІЯ ПЕТРІВНА</t>
  </si>
  <si>
    <t>ЯЦЕНКО ТАМАРА ОЛЕКСАНДРІВНА</t>
  </si>
  <si>
    <t>РАДЧЕНКО ВОЛОДИМИР ІВАНОВИЧ</t>
  </si>
  <si>
    <t>ГЕРАСИМЕНКО СВІТЛАНА ІВАНІВНА</t>
  </si>
  <si>
    <t>СЕРГІЄНКО РАЇСА МИХАЙЛІВНА</t>
  </si>
  <si>
    <t>КОРНІЄНКО ОЛЕКСАНДР СЕРГІЙОВИЧ</t>
  </si>
  <si>
    <t>ГОНЧАР ОЛЕСЬ ТЕРЕНТІЙОВИЧ</t>
  </si>
  <si>
    <t>МАРТИНЕНКО МИКОЛА ВОЛОДИМИРОВИЧ</t>
  </si>
  <si>
    <t>ГОРДІЄНКО НАТАЛІЯ ВОЛОДИМИРІВНА</t>
  </si>
  <si>
    <t>СТЕПАНЕНКО ТАРАС МИКОЛАЙОВИЧ</t>
  </si>
  <si>
    <t>ПРОКОПЕНКО ДЕНИС ГЕННАДІЙОВИЧ</t>
  </si>
  <si>
    <t>ШУЛЬГА АНАСТАСІЯ ОЛЕКСАНДРІВНА</t>
  </si>
  <si>
    <t>ВОЛОШИН АВГУСТИН ІВАНОВИЧ</t>
  </si>
  <si>
    <t>ВЕЛИЧКО САМІЙЛО ВАСИЛЬОВИЧ</t>
  </si>
  <si>
    <t>ДЕНИСЕНКО ЛАРИСА ВОЛОДИМИРІВНА</t>
  </si>
  <si>
    <t>Співробітник</t>
  </si>
  <si>
    <t>Відділ</t>
  </si>
  <si>
    <t>МЕЛЬНИК АНДРІЙ АНДРІЙОВИЧ</t>
  </si>
  <si>
    <t>Бухгалтерія</t>
  </si>
  <si>
    <t>Юридичний відділ</t>
  </si>
  <si>
    <t>Фінансовий відділ</t>
  </si>
  <si>
    <t>Маркетинговий відділ</t>
  </si>
  <si>
    <t>Відділ збуту</t>
  </si>
  <si>
    <t>Господарський відділ</t>
  </si>
  <si>
    <t>Дирекція</t>
  </si>
  <si>
    <t>Відділ кадрів</t>
  </si>
  <si>
    <t>Шевченко</t>
  </si>
  <si>
    <t>Тарас</t>
  </si>
  <si>
    <t>Григорович</t>
  </si>
  <si>
    <t>Коваленко</t>
  </si>
  <si>
    <t>Анна</t>
  </si>
  <si>
    <t>Миколаївна</t>
  </si>
  <si>
    <t>Бондаренко</t>
  </si>
  <si>
    <t>Олена</t>
  </si>
  <si>
    <t>Анатоліївна</t>
  </si>
  <si>
    <t>Бойко</t>
  </si>
  <si>
    <t>Юрій</t>
  </si>
  <si>
    <t>Анатолійович</t>
  </si>
  <si>
    <t>Ткаченко</t>
  </si>
  <si>
    <t>Олександр</t>
  </si>
  <si>
    <t>Миколайович</t>
  </si>
  <si>
    <t>Кравченко</t>
  </si>
  <si>
    <t>Віктор</t>
  </si>
  <si>
    <t>Ковальчук</t>
  </si>
  <si>
    <t>Кирило</t>
  </si>
  <si>
    <t>Сергійович</t>
  </si>
  <si>
    <t>Коваль</t>
  </si>
  <si>
    <t>Іванович</t>
  </si>
  <si>
    <t>Олійник</t>
  </si>
  <si>
    <t>Борис</t>
  </si>
  <si>
    <t>Ілліч</t>
  </si>
  <si>
    <t>Шевчук</t>
  </si>
  <si>
    <t>Святослав</t>
  </si>
  <si>
    <t>Юрійович</t>
  </si>
  <si>
    <t>Поліщук</t>
  </si>
  <si>
    <t>Катерина</t>
  </si>
  <si>
    <t>Олександрівна</t>
  </si>
  <si>
    <t>Іванова</t>
  </si>
  <si>
    <t>Антоніна</t>
  </si>
  <si>
    <t>Ткачук</t>
  </si>
  <si>
    <t>Геннадій</t>
  </si>
  <si>
    <t>Віталійович</t>
  </si>
  <si>
    <t>Савченко</t>
  </si>
  <si>
    <t>Надія</t>
  </si>
  <si>
    <t>Вікторівна</t>
  </si>
  <si>
    <t>Бондар</t>
  </si>
  <si>
    <t>Васильович</t>
  </si>
  <si>
    <t>Марченко</t>
  </si>
  <si>
    <t>Оксана</t>
  </si>
  <si>
    <t>Михайлівна</t>
  </si>
  <si>
    <t>Руденко</t>
  </si>
  <si>
    <t>Бела</t>
  </si>
  <si>
    <t>Андріївна</t>
  </si>
  <si>
    <t>Мороз</t>
  </si>
  <si>
    <t>Олександрович</t>
  </si>
  <si>
    <t>Лисенко</t>
  </si>
  <si>
    <t>Микола</t>
  </si>
  <si>
    <t>Петренко</t>
  </si>
  <si>
    <t>Михайло</t>
  </si>
  <si>
    <t>Клименко</t>
  </si>
  <si>
    <t>Вікторович</t>
  </si>
  <si>
    <t>Павленко</t>
  </si>
  <si>
    <t>Олексійович</t>
  </si>
  <si>
    <t>Кравчук</t>
  </si>
  <si>
    <t>Леонід</t>
  </si>
  <si>
    <t>Макарович</t>
  </si>
  <si>
    <t>Іванов</t>
  </si>
  <si>
    <t>Кузьмич</t>
  </si>
  <si>
    <t>Кузьменко</t>
  </si>
  <si>
    <t>Юлія</t>
  </si>
  <si>
    <t>Леонідівна</t>
  </si>
  <si>
    <t>Пономаренко</t>
  </si>
  <si>
    <t>Євген</t>
  </si>
  <si>
    <t>Порфирович</t>
  </si>
  <si>
    <t>Савчук</t>
  </si>
  <si>
    <t>Ольга</t>
  </si>
  <si>
    <t>Василенко</t>
  </si>
  <si>
    <t>Прокопович</t>
  </si>
  <si>
    <t>Левченко</t>
  </si>
  <si>
    <t>Харченко</t>
  </si>
  <si>
    <t>Марія</t>
  </si>
  <si>
    <t>Федорівна</t>
  </si>
  <si>
    <t>Сидоренко</t>
  </si>
  <si>
    <t>Дмитрович</t>
  </si>
  <si>
    <t>Карпенко</t>
  </si>
  <si>
    <t>Віталій</t>
  </si>
  <si>
    <t>Опанасович</t>
  </si>
  <si>
    <t>Гаврилюк</t>
  </si>
  <si>
    <t>Швець</t>
  </si>
  <si>
    <t>Мельничук</t>
  </si>
  <si>
    <t>Людмила</t>
  </si>
  <si>
    <t>Попова</t>
  </si>
  <si>
    <t>Марківна</t>
  </si>
  <si>
    <t>Романюк</t>
  </si>
  <si>
    <t>Володимир</t>
  </si>
  <si>
    <t>Омелянович</t>
  </si>
  <si>
    <t>Панченко</t>
  </si>
  <si>
    <t>Любов</t>
  </si>
  <si>
    <t>Юрченко</t>
  </si>
  <si>
    <t>Анатолій</t>
  </si>
  <si>
    <t>Петрович</t>
  </si>
  <si>
    <t>Мазур</t>
  </si>
  <si>
    <t>Алла</t>
  </si>
  <si>
    <t>Григорівна</t>
  </si>
  <si>
    <t>Хоменко</t>
  </si>
  <si>
    <t>Попович</t>
  </si>
  <si>
    <t>Павло</t>
  </si>
  <si>
    <t>Романович</t>
  </si>
  <si>
    <t>Павлюк</t>
  </si>
  <si>
    <t>Михнович</t>
  </si>
  <si>
    <t>Кушнір</t>
  </si>
  <si>
    <t>Ігор</t>
  </si>
  <si>
    <t>Литвиненко</t>
  </si>
  <si>
    <t>Іванівна</t>
  </si>
  <si>
    <t>Мартинюк</t>
  </si>
  <si>
    <t>Адам</t>
  </si>
  <si>
    <t>Гончаренко</t>
  </si>
  <si>
    <t>Ніна</t>
  </si>
  <si>
    <t>Приходько</t>
  </si>
  <si>
    <t>Анастасія</t>
  </si>
  <si>
    <t>Костянтинівна</t>
  </si>
  <si>
    <t>Костенко</t>
  </si>
  <si>
    <t>Ліна</t>
  </si>
  <si>
    <t>Василівна</t>
  </si>
  <si>
    <t>Кулик</t>
  </si>
  <si>
    <t>Григорій</t>
  </si>
  <si>
    <t>Романенко</t>
  </si>
  <si>
    <t>Костюк</t>
  </si>
  <si>
    <t>Марта</t>
  </si>
  <si>
    <t>Олегівна</t>
  </si>
  <si>
    <t>Семенюк</t>
  </si>
  <si>
    <t>Валентина</t>
  </si>
  <si>
    <t>Петрівна</t>
  </si>
  <si>
    <t>Назаренко</t>
  </si>
  <si>
    <t>Сергій</t>
  </si>
  <si>
    <t>Ткач</t>
  </si>
  <si>
    <t>Кравець</t>
  </si>
  <si>
    <t>Інеса</t>
  </si>
  <si>
    <t>Коломієць</t>
  </si>
  <si>
    <t>Родіонович</t>
  </si>
  <si>
    <t>Козак</t>
  </si>
  <si>
    <t>Яковенко</t>
  </si>
  <si>
    <t>Федоренко</t>
  </si>
  <si>
    <t>Михайлович</t>
  </si>
  <si>
    <t>Ковтун</t>
  </si>
  <si>
    <t>Ілля</t>
  </si>
  <si>
    <t>Білоус</t>
  </si>
  <si>
    <t>Дмитро</t>
  </si>
  <si>
    <t>Нестеренко</t>
  </si>
  <si>
    <t>Володимирович</t>
  </si>
  <si>
    <t>Терещенко</t>
  </si>
  <si>
    <t>Колесник</t>
  </si>
  <si>
    <t>Євдокія</t>
  </si>
  <si>
    <t>Попов</t>
  </si>
  <si>
    <t>Зінченко</t>
  </si>
  <si>
    <t>Тарасенко</t>
  </si>
  <si>
    <t>Міщенко</t>
  </si>
  <si>
    <t>Валеріївна</t>
  </si>
  <si>
    <t>Вовк</t>
  </si>
  <si>
    <t>Федір</t>
  </si>
  <si>
    <t>Кіндратович</t>
  </si>
  <si>
    <t>Демченко</t>
  </si>
  <si>
    <t>Тетяна</t>
  </si>
  <si>
    <t>Дяченко</t>
  </si>
  <si>
    <t>Ковальова</t>
  </si>
  <si>
    <t>Ірина</t>
  </si>
  <si>
    <t>Пилипенко</t>
  </si>
  <si>
    <t>Іщенко</t>
  </si>
  <si>
    <t>Макаренко</t>
  </si>
  <si>
    <t>Антон</t>
  </si>
  <si>
    <t>Семенович</t>
  </si>
  <si>
    <t>Бабенко</t>
  </si>
  <si>
    <t>Кириченко</t>
  </si>
  <si>
    <t>Раїса</t>
  </si>
  <si>
    <t>Опанасівна</t>
  </si>
  <si>
    <t>Тищенко</t>
  </si>
  <si>
    <t>Тимошенко</t>
  </si>
  <si>
    <t>Володимирівна</t>
  </si>
  <si>
    <t>Жук</t>
  </si>
  <si>
    <t>Якович</t>
  </si>
  <si>
    <t>Москаленко</t>
  </si>
  <si>
    <t>Лариса</t>
  </si>
  <si>
    <t>Віталіївна</t>
  </si>
  <si>
    <t>Марчук</t>
  </si>
  <si>
    <t>Кирилович</t>
  </si>
  <si>
    <t>Власенко</t>
  </si>
  <si>
    <t>Гуменюк</t>
  </si>
  <si>
    <t>Наталія</t>
  </si>
  <si>
    <t>Яценко</t>
  </si>
  <si>
    <t>Тамара</t>
  </si>
  <si>
    <t>Радченко</t>
  </si>
  <si>
    <t>Герасименко</t>
  </si>
  <si>
    <t>Світлана</t>
  </si>
  <si>
    <t>Сергієнко</t>
  </si>
  <si>
    <t>Корнієнко</t>
  </si>
  <si>
    <t>Гончар</t>
  </si>
  <si>
    <t>Олесь</t>
  </si>
  <si>
    <t>Терентійович</t>
  </si>
  <si>
    <t>Мартиненко</t>
  </si>
  <si>
    <t>Гордієнко</t>
  </si>
  <si>
    <t>Степаненко</t>
  </si>
  <si>
    <t>Прокопенко</t>
  </si>
  <si>
    <t>Денис</t>
  </si>
  <si>
    <t>Геннадійович</t>
  </si>
  <si>
    <t>Шульга</t>
  </si>
  <si>
    <t>Волошин</t>
  </si>
  <si>
    <t>Августин</t>
  </si>
  <si>
    <t>Величко</t>
  </si>
  <si>
    <t>Самійло</t>
  </si>
  <si>
    <t>Денисенко</t>
  </si>
  <si>
    <t>Причини звільнення</t>
  </si>
  <si>
    <t/>
  </si>
  <si>
    <t>жіноча</t>
  </si>
  <si>
    <t>так</t>
  </si>
  <si>
    <t>Вік звільнених</t>
  </si>
  <si>
    <t>Позначки рядків</t>
  </si>
  <si>
    <t>Загальний підсумок</t>
  </si>
  <si>
    <t>Позначки стовпців</t>
  </si>
  <si>
    <t>чоловічої</t>
  </si>
  <si>
    <t>Величко Самійло Васильович</t>
  </si>
  <si>
    <t>Гончаренко Ніна Іванівна</t>
  </si>
  <si>
    <t>Іванова Антоніна Миколаївна</t>
  </si>
  <si>
    <t>Коваль Олександр Іванович</t>
  </si>
  <si>
    <t>Ковтун Ілля Юрійович</t>
  </si>
  <si>
    <t>Литвиненко Марія Іванівна</t>
  </si>
  <si>
    <t>Макаренко Антон Семенович</t>
  </si>
  <si>
    <t>Марчук Євген Кирилович</t>
  </si>
  <si>
    <t>Мельник Андрій Андрійович</t>
  </si>
  <si>
    <t>Мельничук Людмила Олександрівна</t>
  </si>
  <si>
    <t>Мороз Олександр Олександрович</t>
  </si>
  <si>
    <t>Назаренко Сергій Юрійович</t>
  </si>
  <si>
    <t>Павлюк Павло Михнович</t>
  </si>
  <si>
    <t>Руденко Бела Андріївна</t>
  </si>
  <si>
    <t>Шульга Анастасія Олександрівна</t>
  </si>
  <si>
    <t>Юрченко Анатолій Петрович</t>
  </si>
  <si>
    <t>Бойко Юрій Анатолійович</t>
  </si>
  <si>
    <t>Вовк Федір Кіндратович</t>
  </si>
  <si>
    <t>Гордієнко Наталія Володимирівна</t>
  </si>
  <si>
    <t>Денисенко Лариса Володимирівна</t>
  </si>
  <si>
    <t>Іванов Микола Кузьмич</t>
  </si>
  <si>
    <t>Ковальова Ірина Федорівна</t>
  </si>
  <si>
    <t>Кушнір Ігор Миколайович</t>
  </si>
  <si>
    <t>Левченко Юлія Андріївна</t>
  </si>
  <si>
    <t>Лисенко Микола Віталійович</t>
  </si>
  <si>
    <t>Мартинюк Адам Іванович</t>
  </si>
  <si>
    <t>Терещенко Михайло Іванович</t>
  </si>
  <si>
    <t>Ткачук Геннадій Віталійович</t>
  </si>
  <si>
    <t>Іщенко Михайло Олексійович</t>
  </si>
  <si>
    <t>Ковальчук Кирило Сергійович</t>
  </si>
  <si>
    <t>Кулик Григорій Іванович</t>
  </si>
  <si>
    <t>Мазур Алла Григорівна</t>
  </si>
  <si>
    <t>Москаленко Лариса Віталіївна</t>
  </si>
  <si>
    <t>Панченко Любов Михайлівна</t>
  </si>
  <si>
    <t>Семенюк Валентина Петрівна</t>
  </si>
  <si>
    <t>Тарасенко Катерина Миколаївна</t>
  </si>
  <si>
    <t>Хоменко Микола Григорович</t>
  </si>
  <si>
    <t>Гаврилюк Михайло Віталійович</t>
  </si>
  <si>
    <t>Герасименко Світлана Іванівна</t>
  </si>
  <si>
    <t>Гончар Олесь Терентійович</t>
  </si>
  <si>
    <t>Костюк Марта Олегівна</t>
  </si>
  <si>
    <t>Кузьменко Юлія Леонідівна</t>
  </si>
  <si>
    <t>Павленко Віктор Олексійович</t>
  </si>
  <si>
    <t>Попович Павло Романович</t>
  </si>
  <si>
    <t>Прокопенко Денис Геннадійович</t>
  </si>
  <si>
    <t>Ткаченко Олександр Миколайович</t>
  </si>
  <si>
    <t>Шевчук Святослав Юрійович</t>
  </si>
  <si>
    <t>Василенко Микола Прокопович</t>
  </si>
  <si>
    <t>Гуменюк Наталія Петрівна</t>
  </si>
  <si>
    <t>Карпенко Віталій Опанасович</t>
  </si>
  <si>
    <t>Колесник Євдокія Василівна</t>
  </si>
  <si>
    <t>Кравець Інеса Миколаївна</t>
  </si>
  <si>
    <t>Кравченко Віктор Андрійович</t>
  </si>
  <si>
    <t>Нестеренко Олександр Володимирович</t>
  </si>
  <si>
    <t>Попова Надія Марківна</t>
  </si>
  <si>
    <t>Савченко Надія Вікторівна</t>
  </si>
  <si>
    <t>Степаненко Тарас Миколайович</t>
  </si>
  <si>
    <t>Бабенко Микола Андрійович</t>
  </si>
  <si>
    <t>Бондаренко Олена Анатоліївна</t>
  </si>
  <si>
    <t>Власенко Сергій Володимирович</t>
  </si>
  <si>
    <t>Дяченко Анатолій Миколайович</t>
  </si>
  <si>
    <t>Клименко Олександр Вікторович</t>
  </si>
  <si>
    <t>Козак Тарас Романович</t>
  </si>
  <si>
    <t>Кравчук Леонід Макарович</t>
  </si>
  <si>
    <t>Петренко Михайло Миколайович</t>
  </si>
  <si>
    <t>Попов Леонід Іванович</t>
  </si>
  <si>
    <t>Сергієнко Раїса Михайлівна</t>
  </si>
  <si>
    <t>Сидоренко Віктор Дмитрович</t>
  </si>
  <si>
    <t>Федоренко Борис Михайлович</t>
  </si>
  <si>
    <t>Харченко Марія Федорівна</t>
  </si>
  <si>
    <t>Демченко Тетяна Василівна</t>
  </si>
  <si>
    <t>Зінченко Олександр Володимирович</t>
  </si>
  <si>
    <t>Коваленко Анна Миколаївна</t>
  </si>
  <si>
    <t>Коломієць Володимир Родіонович</t>
  </si>
  <si>
    <t>Корнієнко Олександр Сергійович</t>
  </si>
  <si>
    <t>Мартиненко Микола Володимирович</t>
  </si>
  <si>
    <t>Марченко Оксана Михайлівна</t>
  </si>
  <si>
    <t>Міщенко Юлія Валеріївна</t>
  </si>
  <si>
    <t>Олійник Борис Ілліч</t>
  </si>
  <si>
    <t>Пилипенко Юлія Вікторівна</t>
  </si>
  <si>
    <t>Приходько Анастасія Костянтинівна</t>
  </si>
  <si>
    <t>Радченко Володимир Іванович</t>
  </si>
  <si>
    <t>Романенко Віктор Дмитрович</t>
  </si>
  <si>
    <t>Савчук Ольга Миколаївна</t>
  </si>
  <si>
    <t>Тищенко Микола Миколайович</t>
  </si>
  <si>
    <t>Швець Ольга Миколаївна</t>
  </si>
  <si>
    <t>Яковенко Павло Олександрович</t>
  </si>
  <si>
    <t>Яценко Тамара Олександрівна</t>
  </si>
  <si>
    <t>Білоус Дмитро Григорович</t>
  </si>
  <si>
    <t>Бондар Віктор Васильович</t>
  </si>
  <si>
    <t>Волошин Августин Іванович</t>
  </si>
  <si>
    <t>Жук Сергій Якович</t>
  </si>
  <si>
    <t>Кириченко Раїса Опанасівна</t>
  </si>
  <si>
    <t>Костенко Ліна Василівна</t>
  </si>
  <si>
    <t>Поліщук Катерина Олександрівна</t>
  </si>
  <si>
    <t>Пономаренко Євген Порфирович</t>
  </si>
  <si>
    <t>Романюк Володимир Омелянович</t>
  </si>
  <si>
    <t>Тимошенко Юлія Володимирівна</t>
  </si>
  <si>
    <t>Ткач Михайло Миколайович</t>
  </si>
  <si>
    <t>Шевченко Тарас Григорович</t>
  </si>
  <si>
    <t>ПІБ</t>
  </si>
  <si>
    <t>Працює в даний момент</t>
  </si>
  <si>
    <t>Кількість з Пенсійний вік</t>
  </si>
  <si>
    <t>Середнє з Стаж</t>
  </si>
  <si>
    <t>Діапазон стажу</t>
  </si>
  <si>
    <t>Середнє з Вік на момент прийому на роботу</t>
  </si>
  <si>
    <t>Кількість з Причина звільнення</t>
  </si>
  <si>
    <t>Сума з Працює в даний момент</t>
  </si>
  <si>
    <t>10-15р</t>
  </si>
  <si>
    <t>5-9р</t>
  </si>
  <si>
    <t>0-4р</t>
  </si>
  <si>
    <t>Кількість з Дата прийому на роботу</t>
  </si>
  <si>
    <t>Кількість з Дата звільнення</t>
  </si>
  <si>
    <t>Кількість з Стаж</t>
  </si>
  <si>
    <t>Використовував не всі таблиці, текст не коригував, чисто розрахунково</t>
  </si>
  <si>
    <t>числова дата 01,01,2009</t>
  </si>
  <si>
    <t>перевірка</t>
  </si>
  <si>
    <t>вік звільнених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</si>
</sst>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rgb="FF000000"/>
      <name val="&quot;aptos narrow&quot;"/>
    </font>
    <font>
      <b/>
      <sz val="14"/>
      <color rgb="FF000000"/>
      <name val="&quot;Aptos narrow&quot;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name val="Aptos Narrow"/>
      <family val="2"/>
    </font>
    <font>
      <sz val="11"/>
      <color rgb="FF000000"/>
      <name val="Arial"/>
      <family val="2"/>
      <charset val="204"/>
    </font>
    <font>
      <b/>
      <sz val="11"/>
      <color rgb="FF000000"/>
      <name val="&quot;aptos narrow&quot;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4"/>
      <color theme="1"/>
      <name val="Bauhaus 93"/>
      <family val="5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theme="9"/>
      </left>
      <right/>
      <top style="thin">
        <color theme="9" tint="0.39997558519241921"/>
      </top>
      <bottom/>
      <diagonal/>
    </border>
    <border>
      <left style="thin">
        <color theme="9"/>
      </left>
      <right/>
      <top style="thin">
        <color rgb="FF000000"/>
      </top>
      <bottom/>
      <diagonal/>
    </border>
    <border>
      <left style="thin">
        <color theme="9"/>
      </left>
      <right/>
      <top style="thin">
        <color rgb="FF000000"/>
      </top>
      <bottom style="thin">
        <color rgb="FF000000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left"/>
    </xf>
    <xf numFmtId="14" fontId="4" fillId="0" borderId="5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1" fillId="0" borderId="5" xfId="0" applyFont="1" applyBorder="1"/>
    <xf numFmtId="0" fontId="4" fillId="0" borderId="10" xfId="0" applyFont="1" applyBorder="1"/>
    <xf numFmtId="0" fontId="4" fillId="0" borderId="9" xfId="0" applyFont="1" applyBorder="1"/>
    <xf numFmtId="1" fontId="4" fillId="0" borderId="5" xfId="0" applyNumberFormat="1" applyFont="1" applyBorder="1" applyAlignment="1">
      <alignment horizontal="center"/>
    </xf>
    <xf numFmtId="2" fontId="0" fillId="0" borderId="0" xfId="0" applyNumberFormat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4" fillId="0" borderId="0" xfId="0" applyNumberFormat="1" applyFont="1" applyAlignment="1">
      <alignment horizontal="center"/>
    </xf>
    <xf numFmtId="0" fontId="5" fillId="0" borderId="0" xfId="0" applyFont="1"/>
    <xf numFmtId="0" fontId="4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/>
    <xf numFmtId="1" fontId="4" fillId="0" borderId="9" xfId="0" applyNumberFormat="1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1" fontId="0" fillId="0" borderId="0" xfId="0" applyNumberFormat="1"/>
    <xf numFmtId="0" fontId="1" fillId="0" borderId="17" xfId="0" applyFont="1" applyBorder="1" applyAlignment="1">
      <alignment horizontal="center"/>
    </xf>
    <xf numFmtId="0" fontId="8" fillId="2" borderId="0" xfId="0" applyFont="1" applyFill="1"/>
    <xf numFmtId="0" fontId="0" fillId="2" borderId="0" xfId="0" applyFill="1"/>
    <xf numFmtId="14" fontId="0" fillId="0" borderId="0" xfId="0" applyNumberFormat="1"/>
    <xf numFmtId="0" fontId="8" fillId="0" borderId="0" xfId="0" applyFont="1" applyAlignment="1">
      <alignment wrapText="1"/>
    </xf>
    <xf numFmtId="0" fontId="3" fillId="3" borderId="17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wrapText="1"/>
    </xf>
    <xf numFmtId="0" fontId="3" fillId="3" borderId="19" xfId="0" applyFont="1" applyFill="1" applyBorder="1"/>
    <xf numFmtId="0" fontId="9" fillId="3" borderId="19" xfId="0" applyFont="1" applyFill="1" applyBorder="1" applyAlignment="1">
      <alignment wrapText="1"/>
    </xf>
    <xf numFmtId="0" fontId="1" fillId="4" borderId="20" xfId="0" applyFont="1" applyFill="1" applyBorder="1" applyAlignment="1">
      <alignment horizontal="center"/>
    </xf>
    <xf numFmtId="0" fontId="8" fillId="4" borderId="19" xfId="0" applyFont="1" applyFill="1" applyBorder="1"/>
    <xf numFmtId="14" fontId="1" fillId="4" borderId="21" xfId="0" applyNumberFormat="1" applyFont="1" applyFill="1" applyBorder="1" applyAlignment="1">
      <alignment horizontal="center"/>
    </xf>
    <xf numFmtId="14" fontId="1" fillId="4" borderId="20" xfId="0" applyNumberFormat="1" applyFont="1" applyFill="1" applyBorder="1" applyAlignment="1">
      <alignment horizontal="center"/>
    </xf>
    <xf numFmtId="0" fontId="1" fillId="4" borderId="19" xfId="0" applyFont="1" applyFill="1" applyBorder="1"/>
    <xf numFmtId="0" fontId="8" fillId="0" borderId="19" xfId="0" applyFont="1" applyBorder="1"/>
    <xf numFmtId="14" fontId="1" fillId="0" borderId="23" xfId="0" applyNumberFormat="1" applyFont="1" applyBorder="1" applyAlignment="1">
      <alignment horizontal="center"/>
    </xf>
    <xf numFmtId="14" fontId="1" fillId="0" borderId="17" xfId="0" applyNumberFormat="1" applyFont="1" applyBorder="1" applyAlignment="1">
      <alignment horizontal="center"/>
    </xf>
    <xf numFmtId="0" fontId="1" fillId="0" borderId="19" xfId="0" applyFont="1" applyBorder="1"/>
    <xf numFmtId="0" fontId="1" fillId="4" borderId="17" xfId="0" applyFont="1" applyFill="1" applyBorder="1" applyAlignment="1">
      <alignment horizontal="center"/>
    </xf>
    <xf numFmtId="14" fontId="1" fillId="4" borderId="23" xfId="0" applyNumberFormat="1" applyFont="1" applyFill="1" applyBorder="1" applyAlignment="1">
      <alignment horizontal="center"/>
    </xf>
    <xf numFmtId="14" fontId="1" fillId="4" borderId="17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8" fillId="0" borderId="18" xfId="0" applyFont="1" applyBorder="1"/>
    <xf numFmtId="14" fontId="1" fillId="0" borderId="25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1" fillId="0" borderId="18" xfId="0" applyFont="1" applyBorder="1"/>
    <xf numFmtId="0" fontId="3" fillId="3" borderId="24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26" xfId="0" applyFont="1" applyFill="1" applyBorder="1"/>
    <xf numFmtId="0" fontId="1" fillId="0" borderId="27" xfId="0" applyFont="1" applyBorder="1"/>
    <xf numFmtId="0" fontId="1" fillId="4" borderId="27" xfId="0" applyFont="1" applyFill="1" applyBorder="1"/>
    <xf numFmtId="0" fontId="1" fillId="0" borderId="28" xfId="0" applyFont="1" applyBorder="1"/>
    <xf numFmtId="0" fontId="10" fillId="0" borderId="29" xfId="0" applyFont="1" applyBorder="1"/>
    <xf numFmtId="0" fontId="8" fillId="4" borderId="30" xfId="0" applyFont="1" applyFill="1" applyBorder="1"/>
    <xf numFmtId="0" fontId="8" fillId="0" borderId="29" xfId="0" applyFont="1" applyBorder="1"/>
    <xf numFmtId="0" fontId="8" fillId="4" borderId="29" xfId="0" applyFont="1" applyFill="1" applyBorder="1"/>
    <xf numFmtId="0" fontId="8" fillId="0" borderId="31" xfId="0" applyFont="1" applyBorder="1"/>
    <xf numFmtId="0" fontId="11" fillId="2" borderId="0" xfId="0" applyFont="1" applyFill="1"/>
    <xf numFmtId="0" fontId="6" fillId="0" borderId="0" xfId="0" applyFont="1" applyAlignment="1">
      <alignment horizontal="left"/>
    </xf>
    <xf numFmtId="0" fontId="0" fillId="0" borderId="0" xfId="0"/>
    <xf numFmtId="0" fontId="4" fillId="0" borderId="2" xfId="0" applyFont="1" applyBorder="1"/>
    <xf numFmtId="0" fontId="5" fillId="0" borderId="2" xfId="0" applyFont="1" applyBorder="1"/>
    <xf numFmtId="0" fontId="5" fillId="0" borderId="3" xfId="0" applyFont="1" applyBorder="1"/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0" xfId="0" applyFont="1"/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4" fillId="0" borderId="14" xfId="0" applyFont="1" applyBorder="1"/>
    <xf numFmtId="0" fontId="4" fillId="0" borderId="15" xfId="0" applyFont="1" applyBorder="1"/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7" fillId="0" borderId="0" xfId="0" applyFont="1"/>
  </cellXfs>
  <cellStyles count="1">
    <cellStyle name="Звичайни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border diagonalUp="0" diagonalDown="0">
        <left style="thin">
          <color theme="9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  <dxf>
      <border outline="0">
        <left style="thin">
          <color rgb="FF000000"/>
        </left>
        <right style="thin">
          <color theme="9"/>
        </right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customschemas.google.com/relationships/workbookmetadata" Target="metadata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[Степ проект Excel.xlsx]Зведена таблиця!Зведена таблиця1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uk-UA" sz="10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Кількість працівників по статі та діапазону стажу</a:t>
            </a:r>
            <a:endParaRPr lang="uk-UA" sz="1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2159415237860836E-2"/>
          <c:y val="9.2487657704130713E-2"/>
          <c:w val="0.91296466118091735"/>
          <c:h val="0.716975737102695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'Зведена таблиця'!$B$35:$B$36</c:f>
              <c:strCache>
                <c:ptCount val="1"/>
                <c:pt idx="0">
                  <c:v>0-4р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'Зведена таблиця'!$A$37:$A$39</c:f>
              <c:strCache>
                <c:ptCount val="2"/>
                <c:pt idx="0">
                  <c:v>жіноча</c:v>
                </c:pt>
                <c:pt idx="1">
                  <c:v>чоловіча</c:v>
                </c:pt>
              </c:strCache>
            </c:strRef>
          </c:cat>
          <c:val>
            <c:numRef>
              <c:f>'Зведена таблиця'!$B$37:$B$39</c:f>
              <c:numCache>
                <c:formatCode>General</c:formatCode>
                <c:ptCount val="2"/>
                <c:pt idx="0">
                  <c:v>10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3-4D4B-AF9B-36A5B47EF8FB}"/>
            </c:ext>
          </c:extLst>
        </c:ser>
        <c:ser>
          <c:idx val="1"/>
          <c:order val="1"/>
          <c:tx>
            <c:strRef>
              <c:f>'Зведена таблиця'!$C$35:$C$36</c:f>
              <c:strCache>
                <c:ptCount val="1"/>
                <c:pt idx="0">
                  <c:v>10-15р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'Зведена таблиця'!$A$37:$A$39</c:f>
              <c:strCache>
                <c:ptCount val="2"/>
                <c:pt idx="0">
                  <c:v>жіноча</c:v>
                </c:pt>
                <c:pt idx="1">
                  <c:v>чоловіча</c:v>
                </c:pt>
              </c:strCache>
            </c:strRef>
          </c:cat>
          <c:val>
            <c:numRef>
              <c:f>'Зведена таблиця'!$C$37:$C$39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3100-4538-B6A9-F8FB5DBF44F7}"/>
            </c:ext>
          </c:extLst>
        </c:ser>
        <c:ser>
          <c:idx val="2"/>
          <c:order val="2"/>
          <c:tx>
            <c:strRef>
              <c:f>'Зведена таблиця'!$D$35:$D$36</c:f>
              <c:strCache>
                <c:ptCount val="1"/>
                <c:pt idx="0">
                  <c:v>5-9р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'Зведена таблиця'!$A$37:$A$39</c:f>
              <c:strCache>
                <c:ptCount val="2"/>
                <c:pt idx="0">
                  <c:v>жіноча</c:v>
                </c:pt>
                <c:pt idx="1">
                  <c:v>чоловіча</c:v>
                </c:pt>
              </c:strCache>
            </c:strRef>
          </c:cat>
          <c:val>
            <c:numRef>
              <c:f>'Зведена таблиця'!$D$37:$D$39</c:f>
              <c:numCache>
                <c:formatCode>General</c:formatCode>
                <c:ptCount val="2"/>
                <c:pt idx="0">
                  <c:v>16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100-4538-B6A9-F8FB5DBF44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22101167"/>
        <c:axId val="1922089167"/>
      </c:barChart>
      <c:catAx>
        <c:axId val="192210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22089167"/>
        <c:crosses val="autoZero"/>
        <c:auto val="1"/>
        <c:lblAlgn val="ctr"/>
        <c:lblOffset val="100"/>
        <c:noMultiLvlLbl val="0"/>
      </c:catAx>
      <c:valAx>
        <c:axId val="192208916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2210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7922060857614828"/>
          <c:y val="0.89706604533694456"/>
          <c:w val="0.49827560281681171"/>
          <c:h val="7.45199980806182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[Степ проект Excel.xlsx]Зведена таблиця!Зведена таблиця2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uk-UA" sz="1000" b="1" baseline="0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Кількість працівників по діапазону стажу</a:t>
            </a:r>
            <a:endParaRPr lang="uk-UA" sz="10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layout>
        <c:manualLayout>
          <c:xMode val="edge"/>
          <c:yMode val="edge"/>
          <c:x val="0.18546019724253199"/>
          <c:y val="1.35922350878732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9408878628934929E-2"/>
          <c:y val="9.7920102630293701E-2"/>
          <c:w val="0.84658567055357259"/>
          <c:h val="0.710653422621117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'Зведена таблиця'!$B$41:$B$42</c:f>
              <c:strCache>
                <c:ptCount val="1"/>
                <c:pt idx="0">
                  <c:v>0-4р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'Зведена таблиця'!$A$43</c:f>
              <c:strCache>
                <c:ptCount val="1"/>
                <c:pt idx="0">
                  <c:v>Підсумок</c:v>
                </c:pt>
              </c:strCache>
            </c:strRef>
          </c:cat>
          <c:val>
            <c:numRef>
              <c:f>'Зведена таблиця'!$B$43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6-4B1A-B994-7C31F8C62F8E}"/>
            </c:ext>
          </c:extLst>
        </c:ser>
        <c:ser>
          <c:idx val="1"/>
          <c:order val="1"/>
          <c:tx>
            <c:strRef>
              <c:f>'Зведена таблиця'!$C$41:$C$42</c:f>
              <c:strCache>
                <c:ptCount val="1"/>
                <c:pt idx="0">
                  <c:v>10-15р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'Зведена таблиця'!$A$43</c:f>
              <c:strCache>
                <c:ptCount val="1"/>
                <c:pt idx="0">
                  <c:v>Підсумок</c:v>
                </c:pt>
              </c:strCache>
            </c:strRef>
          </c:cat>
          <c:val>
            <c:numRef>
              <c:f>'Зведена таблиця'!$C$43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DC6-4B1A-B994-7C31F8C62F8E}"/>
            </c:ext>
          </c:extLst>
        </c:ser>
        <c:ser>
          <c:idx val="2"/>
          <c:order val="2"/>
          <c:tx>
            <c:strRef>
              <c:f>'Зведена таблиця'!$D$41:$D$42</c:f>
              <c:strCache>
                <c:ptCount val="1"/>
                <c:pt idx="0">
                  <c:v>5-9р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'Зведена таблиця'!$A$43</c:f>
              <c:strCache>
                <c:ptCount val="1"/>
                <c:pt idx="0">
                  <c:v>Підсумок</c:v>
                </c:pt>
              </c:strCache>
            </c:strRef>
          </c:cat>
          <c:val>
            <c:numRef>
              <c:f>'Зведена таблиця'!$D$43</c:f>
              <c:numCache>
                <c:formatCode>General</c:formatCode>
                <c:ptCount val="1"/>
                <c:pt idx="0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DC6-4B1A-B994-7C31F8C62F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65420447"/>
        <c:axId val="2065429567"/>
      </c:barChart>
      <c:catAx>
        <c:axId val="20654204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5429567"/>
        <c:crosses val="autoZero"/>
        <c:auto val="1"/>
        <c:lblAlgn val="ctr"/>
        <c:lblOffset val="100"/>
        <c:noMultiLvlLbl val="0"/>
      </c:catAx>
      <c:valAx>
        <c:axId val="20654295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06542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98240274088047"/>
          <c:y val="0.90325717757416779"/>
          <c:w val="0.50037024350530412"/>
          <c:h val="7.5110581979614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2177</xdr:colOff>
      <xdr:row>0</xdr:row>
      <xdr:rowOff>53342</xdr:rowOff>
    </xdr:from>
    <xdr:to>
      <xdr:col>10</xdr:col>
      <xdr:colOff>598714</xdr:colOff>
      <xdr:row>3</xdr:row>
      <xdr:rowOff>74171</xdr:rowOff>
    </xdr:to>
    <xdr:sp macro="" textlink="">
      <xdr:nvSpPr>
        <xdr:cNvPr id="3" name="Прямокутник 2">
          <a:extLst>
            <a:ext uri="{FF2B5EF4-FFF2-40B4-BE49-F238E27FC236}">
              <a16:creationId xmlns:a16="http://schemas.microsoft.com/office/drawing/2014/main" id="{C0B5269D-6347-7D83-7ED6-5816662FE11C}"/>
            </a:ext>
          </a:extLst>
        </xdr:cNvPr>
        <xdr:cNvSpPr/>
      </xdr:nvSpPr>
      <xdr:spPr>
        <a:xfrm>
          <a:off x="1907177" y="53342"/>
          <a:ext cx="5473337" cy="576000"/>
        </a:xfrm>
        <a:prstGeom prst="rect">
          <a:avLst/>
        </a:prstGeom>
        <a:solidFill>
          <a:schemeClr val="accent6">
            <a:lumMod val="5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uk-UA" sz="18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Звіт</a:t>
          </a:r>
          <a:r>
            <a:rPr lang="uk-UA" sz="1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</a:t>
          </a:r>
          <a:r>
            <a:rPr lang="en-GB" sz="1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HR</a:t>
          </a:r>
          <a:r>
            <a:rPr lang="uk-UA" sz="18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про стаж роботи співробітників по відділам</a:t>
          </a:r>
          <a:endParaRPr lang="uk-UA" sz="18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131716</xdr:colOff>
      <xdr:row>3</xdr:row>
      <xdr:rowOff>163283</xdr:rowOff>
    </xdr:from>
    <xdr:to>
      <xdr:col>4</xdr:col>
      <xdr:colOff>72445</xdr:colOff>
      <xdr:row>6</xdr:row>
      <xdr:rowOff>184111</xdr:rowOff>
    </xdr:to>
    <xdr:sp macro="" textlink="">
      <xdr:nvSpPr>
        <xdr:cNvPr id="4" name="Прямокутник 3">
          <a:extLst>
            <a:ext uri="{FF2B5EF4-FFF2-40B4-BE49-F238E27FC236}">
              <a16:creationId xmlns:a16="http://schemas.microsoft.com/office/drawing/2014/main" id="{50285B36-CE9C-74FA-61FF-B21D52EDC49B}"/>
            </a:ext>
          </a:extLst>
        </xdr:cNvPr>
        <xdr:cNvSpPr/>
      </xdr:nvSpPr>
      <xdr:spPr>
        <a:xfrm>
          <a:off x="1900645" y="718454"/>
          <a:ext cx="1296000" cy="57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uk-UA" sz="900" b="1">
              <a:solidFill>
                <a:schemeClr val="bg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Середній вік при прийомі на роботу</a:t>
          </a:r>
        </a:p>
      </xdr:txBody>
    </xdr:sp>
    <xdr:clientData/>
  </xdr:twoCellAnchor>
  <xdr:twoCellAnchor>
    <xdr:from>
      <xdr:col>4</xdr:col>
      <xdr:colOff>174349</xdr:colOff>
      <xdr:row>3</xdr:row>
      <xdr:rowOff>163105</xdr:rowOff>
    </xdr:from>
    <xdr:to>
      <xdr:col>6</xdr:col>
      <xdr:colOff>251149</xdr:colOff>
      <xdr:row>6</xdr:row>
      <xdr:rowOff>183933</xdr:rowOff>
    </xdr:to>
    <xdr:sp macro="" textlink="">
      <xdr:nvSpPr>
        <xdr:cNvPr id="5" name="Прямокутник 4">
          <a:extLst>
            <a:ext uri="{FF2B5EF4-FFF2-40B4-BE49-F238E27FC236}">
              <a16:creationId xmlns:a16="http://schemas.microsoft.com/office/drawing/2014/main" id="{849ED572-A4DB-2A76-20C0-24AA23A63C4A}"/>
            </a:ext>
          </a:extLst>
        </xdr:cNvPr>
        <xdr:cNvSpPr/>
      </xdr:nvSpPr>
      <xdr:spPr>
        <a:xfrm>
          <a:off x="3298549" y="718276"/>
          <a:ext cx="1296000" cy="57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uk-UA" sz="900" b="1">
              <a:solidFill>
                <a:schemeClr val="bg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Кількість</a:t>
          </a:r>
          <a:r>
            <a:rPr lang="uk-UA" sz="900" b="1" baseline="0">
              <a:solidFill>
                <a:schemeClr val="bg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звільнених</a:t>
          </a:r>
          <a:endParaRPr lang="uk-UA" sz="900" b="1">
            <a:solidFill>
              <a:schemeClr val="bg2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6</xdr:col>
      <xdr:colOff>359229</xdr:colOff>
      <xdr:row>3</xdr:row>
      <xdr:rowOff>163285</xdr:rowOff>
    </xdr:from>
    <xdr:to>
      <xdr:col>8</xdr:col>
      <xdr:colOff>436029</xdr:colOff>
      <xdr:row>6</xdr:row>
      <xdr:rowOff>184113</xdr:rowOff>
    </xdr:to>
    <xdr:sp macro="" textlink="">
      <xdr:nvSpPr>
        <xdr:cNvPr id="6" name="Прямокутник 5">
          <a:extLst>
            <a:ext uri="{FF2B5EF4-FFF2-40B4-BE49-F238E27FC236}">
              <a16:creationId xmlns:a16="http://schemas.microsoft.com/office/drawing/2014/main" id="{EBE32C02-15F0-E25C-677B-D7F9680CE62E}"/>
            </a:ext>
          </a:extLst>
        </xdr:cNvPr>
        <xdr:cNvSpPr/>
      </xdr:nvSpPr>
      <xdr:spPr>
        <a:xfrm>
          <a:off x="4702629" y="718456"/>
          <a:ext cx="1296000" cy="57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uk-UA" sz="900" b="1">
              <a:solidFill>
                <a:schemeClr val="bg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Кількість працівників на 01.01.2023</a:t>
          </a:r>
        </a:p>
      </xdr:txBody>
    </xdr:sp>
    <xdr:clientData/>
  </xdr:twoCellAnchor>
  <xdr:twoCellAnchor>
    <xdr:from>
      <xdr:col>8</xdr:col>
      <xdr:colOff>525417</xdr:colOff>
      <xdr:row>3</xdr:row>
      <xdr:rowOff>168547</xdr:rowOff>
    </xdr:from>
    <xdr:to>
      <xdr:col>10</xdr:col>
      <xdr:colOff>602217</xdr:colOff>
      <xdr:row>7</xdr:row>
      <xdr:rowOff>4318</xdr:rowOff>
    </xdr:to>
    <xdr:sp macro="" textlink="">
      <xdr:nvSpPr>
        <xdr:cNvPr id="7" name="Прямокутник 6">
          <a:extLst>
            <a:ext uri="{FF2B5EF4-FFF2-40B4-BE49-F238E27FC236}">
              <a16:creationId xmlns:a16="http://schemas.microsoft.com/office/drawing/2014/main" id="{F295533F-E369-5719-FF9C-528799AB86DD}"/>
            </a:ext>
          </a:extLst>
        </xdr:cNvPr>
        <xdr:cNvSpPr/>
      </xdr:nvSpPr>
      <xdr:spPr>
        <a:xfrm>
          <a:off x="6088017" y="723718"/>
          <a:ext cx="1296000" cy="5760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uk-UA" sz="9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Середній</a:t>
          </a:r>
          <a:r>
            <a:rPr lang="uk-UA" sz="9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стаж</a:t>
          </a:r>
          <a:endParaRPr lang="uk-UA" sz="9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451757</xdr:colOff>
      <xdr:row>5</xdr:row>
      <xdr:rowOff>97970</xdr:rowOff>
    </xdr:from>
    <xdr:to>
      <xdr:col>3</xdr:col>
      <xdr:colOff>310243</xdr:colOff>
      <xdr:row>6</xdr:row>
      <xdr:rowOff>146913</xdr:rowOff>
    </xdr:to>
    <xdr:sp macro="" textlink="'Зведена таблиця'!$A$29">
      <xdr:nvSpPr>
        <xdr:cNvPr id="9" name="TextBox 8">
          <a:extLst>
            <a:ext uri="{FF2B5EF4-FFF2-40B4-BE49-F238E27FC236}">
              <a16:creationId xmlns:a16="http://schemas.microsoft.com/office/drawing/2014/main" id="{B0569276-A964-6091-EAB3-587C15710EB9}"/>
            </a:ext>
          </a:extLst>
        </xdr:cNvPr>
        <xdr:cNvSpPr txBox="1"/>
      </xdr:nvSpPr>
      <xdr:spPr>
        <a:xfrm>
          <a:off x="2356757" y="1023256"/>
          <a:ext cx="468086" cy="23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3B948DA-EEAF-47DA-88F9-2C03708A76D4}" type="TxLink"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/>
            <a:t>39</a:t>
          </a:fld>
          <a:endParaRPr lang="uk-UA" sz="12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5</xdr:col>
      <xdr:colOff>81642</xdr:colOff>
      <xdr:row>5</xdr:row>
      <xdr:rowOff>81641</xdr:rowOff>
    </xdr:from>
    <xdr:to>
      <xdr:col>5</xdr:col>
      <xdr:colOff>441642</xdr:colOff>
      <xdr:row>6</xdr:row>
      <xdr:rowOff>130627</xdr:rowOff>
    </xdr:to>
    <xdr:sp macro="" textlink="'Зведена таблиця'!$E$29">
      <xdr:nvSpPr>
        <xdr:cNvPr id="10" name="TextBox 9">
          <a:extLst>
            <a:ext uri="{FF2B5EF4-FFF2-40B4-BE49-F238E27FC236}">
              <a16:creationId xmlns:a16="http://schemas.microsoft.com/office/drawing/2014/main" id="{B7CE19D8-99B7-CD20-53D8-C4BAB8AF106E}"/>
            </a:ext>
          </a:extLst>
        </xdr:cNvPr>
        <xdr:cNvSpPr txBox="1"/>
      </xdr:nvSpPr>
      <xdr:spPr>
        <a:xfrm>
          <a:off x="3815442" y="1006927"/>
          <a:ext cx="360000" cy="234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4A11804-0A6F-4D19-BBA7-B29C82CDC150}" type="TxLink"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/>
            <a:t>61</a:t>
          </a:fld>
          <a:endParaRPr lang="uk-UA" sz="12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7</xdr:col>
      <xdr:colOff>223157</xdr:colOff>
      <xdr:row>5</xdr:row>
      <xdr:rowOff>97969</xdr:rowOff>
    </xdr:from>
    <xdr:to>
      <xdr:col>7</xdr:col>
      <xdr:colOff>583157</xdr:colOff>
      <xdr:row>6</xdr:row>
      <xdr:rowOff>146912</xdr:rowOff>
    </xdr:to>
    <xdr:sp macro="" textlink="'Зведена таблиця'!$A$33">
      <xdr:nvSpPr>
        <xdr:cNvPr id="11" name="TextBox 10">
          <a:extLst>
            <a:ext uri="{FF2B5EF4-FFF2-40B4-BE49-F238E27FC236}">
              <a16:creationId xmlns:a16="http://schemas.microsoft.com/office/drawing/2014/main" id="{9F4C9097-735D-8079-E340-C2467749C6D9}"/>
            </a:ext>
          </a:extLst>
        </xdr:cNvPr>
        <xdr:cNvSpPr txBox="1"/>
      </xdr:nvSpPr>
      <xdr:spPr>
        <a:xfrm>
          <a:off x="5176157" y="1023255"/>
          <a:ext cx="360000" cy="23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88AC26F-08CF-41A4-880F-0D9740A78F96}" type="TxLink"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/>
            <a:t>39</a:t>
          </a:fld>
          <a:endParaRPr lang="uk-UA" sz="12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3</xdr:col>
      <xdr:colOff>111788</xdr:colOff>
      <xdr:row>5</xdr:row>
      <xdr:rowOff>177521</xdr:rowOff>
    </xdr:from>
    <xdr:to>
      <xdr:col>3</xdr:col>
      <xdr:colOff>545542</xdr:colOff>
      <xdr:row>6</xdr:row>
      <xdr:rowOff>142352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DFCF6DD-E52A-CE08-C8C0-DA0675EEA9FF}"/>
            </a:ext>
          </a:extLst>
        </xdr:cNvPr>
        <xdr:cNvSpPr txBox="1"/>
      </xdr:nvSpPr>
      <xdr:spPr>
        <a:xfrm>
          <a:off x="2591219" y="1086059"/>
          <a:ext cx="433754" cy="146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uk-UA" sz="800" b="1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років</a:t>
          </a:r>
        </a:p>
      </xdr:txBody>
    </xdr:sp>
    <xdr:clientData/>
  </xdr:twoCellAnchor>
  <xdr:twoCellAnchor>
    <xdr:from>
      <xdr:col>9</xdr:col>
      <xdr:colOff>442852</xdr:colOff>
      <xdr:row>5</xdr:row>
      <xdr:rowOff>102423</xdr:rowOff>
    </xdr:from>
    <xdr:to>
      <xdr:col>10</xdr:col>
      <xdr:colOff>200396</xdr:colOff>
      <xdr:row>6</xdr:row>
      <xdr:rowOff>178623</xdr:rowOff>
    </xdr:to>
    <xdr:sp macro="" textlink="'Зведена таблиця'!$G$29">
      <xdr:nvSpPr>
        <xdr:cNvPr id="2" name="TextBox 1">
          <a:extLst>
            <a:ext uri="{FF2B5EF4-FFF2-40B4-BE49-F238E27FC236}">
              <a16:creationId xmlns:a16="http://schemas.microsoft.com/office/drawing/2014/main" id="{2073A10A-E5AD-7417-FA3F-0DEB857D1EE0}"/>
            </a:ext>
          </a:extLst>
        </xdr:cNvPr>
        <xdr:cNvSpPr txBox="1"/>
      </xdr:nvSpPr>
      <xdr:spPr>
        <a:xfrm>
          <a:off x="6615052" y="1027709"/>
          <a:ext cx="367144" cy="261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08C031B-30A1-42AA-B3BB-C4F0759D9AC4}" type="TxLink">
            <a:rPr lang="en-US" sz="12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pPr/>
            <a:t>7</a:t>
          </a:fld>
          <a:endParaRPr lang="uk-UA" sz="1200" b="1">
            <a:solidFill>
              <a:schemeClr val="accent6">
                <a:lumMod val="50000"/>
              </a:schemeClr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10</xdr:col>
      <xdr:colOff>14845</xdr:colOff>
      <xdr:row>5</xdr:row>
      <xdr:rowOff>135994</xdr:rowOff>
    </xdr:from>
    <xdr:to>
      <xdr:col>10</xdr:col>
      <xdr:colOff>499754</xdr:colOff>
      <xdr:row>6</xdr:row>
      <xdr:rowOff>129066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EE234EC-15D0-5394-AAC8-F88D8A3BBC32}"/>
            </a:ext>
          </a:extLst>
        </xdr:cNvPr>
        <xdr:cNvSpPr txBox="1"/>
      </xdr:nvSpPr>
      <xdr:spPr>
        <a:xfrm>
          <a:off x="6761476" y="1044532"/>
          <a:ext cx="484909" cy="174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uk-UA" sz="800" b="1">
              <a:solidFill>
                <a:schemeClr val="accent6">
                  <a:lumMod val="50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років</a:t>
          </a:r>
        </a:p>
      </xdr:txBody>
    </xdr:sp>
    <xdr:clientData/>
  </xdr:twoCellAnchor>
  <xdr:twoCellAnchor editAs="oneCell">
    <xdr:from>
      <xdr:col>0</xdr:col>
      <xdr:colOff>70338</xdr:colOff>
      <xdr:row>3</xdr:row>
      <xdr:rowOff>167741</xdr:rowOff>
    </xdr:from>
    <xdr:to>
      <xdr:col>0</xdr:col>
      <xdr:colOff>1717431</xdr:colOff>
      <xdr:row>15</xdr:row>
      <xdr:rowOff>58882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Відділ">
              <a:extLst>
                <a:ext uri="{FF2B5EF4-FFF2-40B4-BE49-F238E27FC236}">
                  <a16:creationId xmlns:a16="http://schemas.microsoft.com/office/drawing/2014/main" id="{63777F0E-00DB-44DB-AE1E-5673C95FDE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ідділ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38" y="673927"/>
              <a:ext cx="1647093" cy="2111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41032</xdr:colOff>
      <xdr:row>15</xdr:row>
      <xdr:rowOff>163782</xdr:rowOff>
    </xdr:from>
    <xdr:to>
      <xdr:col>0</xdr:col>
      <xdr:colOff>1723292</xdr:colOff>
      <xdr:row>21</xdr:row>
      <xdr:rowOff>97974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Діапазон стажу">
              <a:extLst>
                <a:ext uri="{FF2B5EF4-FFF2-40B4-BE49-F238E27FC236}">
                  <a16:creationId xmlns:a16="http://schemas.microsoft.com/office/drawing/2014/main" id="{1EBD2A86-F4C8-4228-AAB5-2861B17458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іапазон стажу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032" y="2890653"/>
              <a:ext cx="1682260" cy="1044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uk-UA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1</xdr:col>
      <xdr:colOff>97554</xdr:colOff>
      <xdr:row>7</xdr:row>
      <xdr:rowOff>84989</xdr:rowOff>
    </xdr:from>
    <xdr:to>
      <xdr:col>6</xdr:col>
      <xdr:colOff>261257</xdr:colOff>
      <xdr:row>23</xdr:row>
      <xdr:rowOff>0</xdr:rowOff>
    </xdr:to>
    <xdr:graphicFrame macro="">
      <xdr:nvGraphicFramePr>
        <xdr:cNvPr id="13" name="Діаграма 12">
          <a:extLst>
            <a:ext uri="{FF2B5EF4-FFF2-40B4-BE49-F238E27FC236}">
              <a16:creationId xmlns:a16="http://schemas.microsoft.com/office/drawing/2014/main" id="{AD47AD5A-87A8-4AC2-A119-710C5BEFF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364672</xdr:colOff>
      <xdr:row>7</xdr:row>
      <xdr:rowOff>92529</xdr:rowOff>
    </xdr:from>
    <xdr:to>
      <xdr:col>11</xdr:col>
      <xdr:colOff>5443</xdr:colOff>
      <xdr:row>22</xdr:row>
      <xdr:rowOff>169985</xdr:rowOff>
    </xdr:to>
    <xdr:graphicFrame macro="">
      <xdr:nvGraphicFramePr>
        <xdr:cNvPr id="14" name="Діаграма 13">
          <a:extLst>
            <a:ext uri="{FF2B5EF4-FFF2-40B4-BE49-F238E27FC236}">
              <a16:creationId xmlns:a16="http://schemas.microsoft.com/office/drawing/2014/main" id="{7E967171-8CBF-40F6-B336-85FAD6F633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187568</xdr:colOff>
      <xdr:row>1</xdr:row>
      <xdr:rowOff>1</xdr:rowOff>
    </xdr:from>
    <xdr:to>
      <xdr:col>0</xdr:col>
      <xdr:colOff>949569</xdr:colOff>
      <xdr:row>3</xdr:row>
      <xdr:rowOff>82063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1B56FB7-6C86-C299-085D-5C746E68128F}"/>
            </a:ext>
          </a:extLst>
        </xdr:cNvPr>
        <xdr:cNvSpPr txBox="1"/>
      </xdr:nvSpPr>
      <xdr:spPr>
        <a:xfrm>
          <a:off x="187568" y="52755"/>
          <a:ext cx="762001" cy="533400"/>
        </a:xfrm>
        <a:prstGeom prst="rect">
          <a:avLst/>
        </a:prstGeom>
        <a:noFill/>
        <a:ln w="9525" cmpd="sng"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2400">
              <a:solidFill>
                <a:schemeClr val="bg2"/>
              </a:solidFill>
              <a:latin typeface="Bauhaus 93" panose="04030905020B02020C02" pitchFamily="82" charset="0"/>
            </a:rPr>
            <a:t>HR</a:t>
          </a:r>
          <a:endParaRPr lang="uk-UA" sz="2400">
            <a:solidFill>
              <a:schemeClr val="bg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Олег Варчак" refreshedDate="46089.412447569448" createdVersion="8" refreshedVersion="8" minRefreshableVersion="3" recordCount="100" xr:uid="{74C294CB-A476-4C99-A977-2B9A628CEBF7}">
  <cacheSource type="worksheet">
    <worksheetSource name="Таблиця3"/>
  </cacheSource>
  <cacheFields count="14">
    <cacheField name="№" numFmtId="0">
      <sharedItems containsSemiMixedTypes="0" containsString="0" containsNumber="1" containsInteger="1" minValue="1" maxValue="100"/>
    </cacheField>
    <cacheField name="ПІБ" numFmtId="0">
      <sharedItems/>
    </cacheField>
    <cacheField name="Дата народження" numFmtId="14">
      <sharedItems containsSemiMixedTypes="0" containsNonDate="0" containsDate="1" containsString="0" minDate="1937-06-19T00:00:00" maxDate="1994-10-25T00:00:00"/>
    </cacheField>
    <cacheField name="Стать" numFmtId="0">
      <sharedItems count="2">
        <s v="чоловіча"/>
        <s v="жіноча"/>
      </sharedItems>
    </cacheField>
    <cacheField name="Вік на момент прийому на роботу" numFmtId="0">
      <sharedItems containsSemiMixedTypes="0" containsString="0" containsNumber="1" containsInteger="1" minValue="13" maxValue="75"/>
    </cacheField>
    <cacheField name="Пенсійний вік" numFmtId="0">
      <sharedItems/>
    </cacheField>
    <cacheField name="Дата прийому на роботу" numFmtId="14">
      <sharedItems containsSemiMixedTypes="0" containsNonDate="0" containsDate="1" containsString="0" minDate="2007-01-15T00:00:00" maxDate="2015-09-19T00:00:00"/>
    </cacheField>
    <cacheField name="Дата звільнення" numFmtId="14">
      <sharedItems containsNonDate="0" containsDate="1" containsString="0" containsBlank="1" minDate="2007-09-09T00:00:00" maxDate="2022-10-03T00:00:00"/>
    </cacheField>
    <cacheField name="Стаж" numFmtId="0">
      <sharedItems containsSemiMixedTypes="0" containsString="0" containsNumber="1" containsInteger="1" minValue="0" maxValue="15"/>
    </cacheField>
    <cacheField name="Причина звільнення" numFmtId="0">
      <sharedItems containsBlank="1"/>
    </cacheField>
    <cacheField name="Відділ" numFmtId="0">
      <sharedItems count="8">
        <s v="Бухгалтерія"/>
        <s v="Відділ збуту"/>
        <s v="Відділ кадрів"/>
        <s v="Господарський відділ"/>
        <s v="Дирекція"/>
        <s v="Маркетинговий відділ"/>
        <s v="Фінансовий відділ"/>
        <s v="Юридичний відділ"/>
      </sharedItems>
    </cacheField>
    <cacheField name="Вік звільнених" numFmtId="0">
      <sharedItems containsMixedTypes="1" containsNumber="1" containsInteger="1" minValue="16" maxValue="78"/>
    </cacheField>
    <cacheField name="Працює в даний момент" numFmtId="0">
      <sharedItems containsSemiMixedTypes="0" containsString="0" containsNumber="1" containsInteger="1" minValue="0" maxValue="1"/>
    </cacheField>
    <cacheField name="Діапазон стажу" numFmtId="0">
      <sharedItems count="3">
        <s v="10-15р"/>
        <s v="5-9р"/>
        <s v="0-4р"/>
      </sharedItems>
    </cacheField>
  </cacheFields>
  <extLst>
    <ext xmlns:x14="http://schemas.microsoft.com/office/spreadsheetml/2009/9/main" uri="{725AE2AE-9491-48be-B2B4-4EB974FC3084}">
      <x14:pivotCacheDefinition pivotCacheId="10088349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99"/>
    <s v="Величко Самійло Васильович"/>
    <d v="1964-07-17T00:00:00"/>
    <x v="0"/>
    <n v="42"/>
    <s v="ні"/>
    <d v="2007-03-20T00:00:00"/>
    <m/>
    <n v="15"/>
    <m/>
    <x v="0"/>
    <s v=""/>
    <n v="1"/>
    <x v="0"/>
  </r>
  <r>
    <n v="48"/>
    <s v="Гончаренко Ніна Іванівна"/>
    <d v="1979-01-18T00:00:00"/>
    <x v="1"/>
    <n v="34"/>
    <s v="ні"/>
    <d v="2013-05-08T00:00:00"/>
    <m/>
    <n v="9"/>
    <m/>
    <x v="0"/>
    <s v=""/>
    <n v="1"/>
    <x v="1"/>
  </r>
  <r>
    <n v="13"/>
    <s v="Іванова Антоніна Миколаївна"/>
    <d v="1960-04-22T00:00:00"/>
    <x v="1"/>
    <n v="54"/>
    <s v="ні"/>
    <d v="2014-12-04T00:00:00"/>
    <m/>
    <n v="8"/>
    <m/>
    <x v="0"/>
    <s v=""/>
    <n v="1"/>
    <x v="1"/>
  </r>
  <r>
    <n v="9"/>
    <s v="Коваль Олександр Іванович"/>
    <d v="1966-07-14T00:00:00"/>
    <x v="0"/>
    <n v="46"/>
    <s v="ні"/>
    <d v="2013-06-09T00:00:00"/>
    <m/>
    <n v="9"/>
    <m/>
    <x v="0"/>
    <s v=""/>
    <n v="1"/>
    <x v="1"/>
  </r>
  <r>
    <n v="62"/>
    <s v="Ковтун Ілля Юрійович"/>
    <d v="1946-09-17T00:00:00"/>
    <x v="0"/>
    <n v="63"/>
    <s v="так"/>
    <d v="2010-08-19T00:00:00"/>
    <m/>
    <n v="12"/>
    <m/>
    <x v="0"/>
    <s v=""/>
    <n v="1"/>
    <x v="0"/>
  </r>
  <r>
    <n v="46"/>
    <s v="Литвиненко Марія Іванівна"/>
    <d v="1965-07-04T00:00:00"/>
    <x v="1"/>
    <n v="44"/>
    <s v="ні"/>
    <d v="2009-11-05T00:00:00"/>
    <m/>
    <n v="13"/>
    <m/>
    <x v="0"/>
    <s v=""/>
    <n v="1"/>
    <x v="0"/>
  </r>
  <r>
    <n v="77"/>
    <s v="Макаренко Антон Семенович"/>
    <d v="1991-05-17T00:00:00"/>
    <x v="0"/>
    <n v="21"/>
    <s v="ні"/>
    <d v="2012-09-26T00:00:00"/>
    <d v="2018-07-31T00:00:00"/>
    <n v="5"/>
    <s v="за власним бажанням"/>
    <x v="0"/>
    <n v="27"/>
    <n v="0"/>
    <x v="1"/>
  </r>
  <r>
    <n v="84"/>
    <s v="Марчук Євген Кирилович"/>
    <d v="1979-06-14T00:00:00"/>
    <x v="0"/>
    <n v="32"/>
    <s v="ні"/>
    <d v="2011-10-09T00:00:00"/>
    <d v="2016-07-28T00:00:00"/>
    <n v="4"/>
    <s v="за власним бажанням"/>
    <x v="0"/>
    <n v="37"/>
    <n v="0"/>
    <x v="2"/>
  </r>
  <r>
    <n v="1"/>
    <s v="Мельник Андрій Андрійович"/>
    <d v="1960-02-10T00:00:00"/>
    <x v="0"/>
    <n v="53"/>
    <s v="ні"/>
    <d v="2013-09-13T00:00:00"/>
    <m/>
    <n v="9"/>
    <m/>
    <x v="0"/>
    <s v=""/>
    <n v="1"/>
    <x v="1"/>
  </r>
  <r>
    <n v="36"/>
    <s v="Мельничук Людмила Олександрівна"/>
    <d v="1966-04-27T00:00:00"/>
    <x v="1"/>
    <n v="45"/>
    <s v="ні"/>
    <d v="2012-02-14T00:00:00"/>
    <d v="2020-03-01T00:00:00"/>
    <n v="8"/>
    <s v="порушення трудового договору"/>
    <x v="0"/>
    <n v="53"/>
    <n v="0"/>
    <x v="1"/>
  </r>
  <r>
    <n v="19"/>
    <s v="Мороз Олександр Олександрович"/>
    <d v="1958-01-11T00:00:00"/>
    <x v="0"/>
    <n v="54"/>
    <s v="ні"/>
    <d v="2012-01-13T00:00:00"/>
    <d v="2021-10-25T00:00:00"/>
    <n v="9"/>
    <s v="за згодою сторін"/>
    <x v="0"/>
    <n v="63"/>
    <n v="0"/>
    <x v="1"/>
  </r>
  <r>
    <n v="55"/>
    <s v="Назаренко Сергій Юрійович"/>
    <d v="1983-10-25T00:00:00"/>
    <x v="0"/>
    <n v="29"/>
    <s v="ні"/>
    <d v="2013-04-06T00:00:00"/>
    <d v="2014-01-06T00:00:00"/>
    <n v="0"/>
    <s v="за власним бажанням"/>
    <x v="0"/>
    <n v="30"/>
    <n v="0"/>
    <x v="2"/>
  </r>
  <r>
    <n v="44"/>
    <s v="Павлюк Павло Михнович"/>
    <d v="1942-09-10T00:00:00"/>
    <x v="0"/>
    <n v="70"/>
    <s v="так"/>
    <d v="2013-07-11T00:00:00"/>
    <m/>
    <n v="9"/>
    <m/>
    <x v="0"/>
    <s v=""/>
    <n v="1"/>
    <x v="1"/>
  </r>
  <r>
    <n v="18"/>
    <s v="Руденко Бела Андріївна"/>
    <d v="1993-09-29T00:00:00"/>
    <x v="1"/>
    <n v="17"/>
    <s v="ні"/>
    <d v="2011-02-27T00:00:00"/>
    <d v="2019-12-01T00:00:00"/>
    <n v="8"/>
    <s v="завершення трудового договору"/>
    <x v="0"/>
    <n v="26"/>
    <n v="0"/>
    <x v="1"/>
  </r>
  <r>
    <n v="97"/>
    <s v="Шульга Анастасія Олександрівна"/>
    <d v="1966-02-02T00:00:00"/>
    <x v="1"/>
    <n v="45"/>
    <s v="ні"/>
    <d v="2011-08-06T00:00:00"/>
    <m/>
    <n v="11"/>
    <m/>
    <x v="0"/>
    <s v=""/>
    <n v="1"/>
    <x v="0"/>
  </r>
  <r>
    <n v="40"/>
    <s v="Юрченко Анатолій Петрович"/>
    <d v="1967-05-03T00:00:00"/>
    <x v="0"/>
    <n v="44"/>
    <s v="ні"/>
    <d v="2011-12-12T00:00:00"/>
    <d v="2020-10-08T00:00:00"/>
    <n v="8"/>
    <s v="завершення трудового договору"/>
    <x v="0"/>
    <n v="53"/>
    <n v="0"/>
    <x v="1"/>
  </r>
  <r>
    <n v="5"/>
    <s v="Бойко Юрій Анатолійович"/>
    <d v="1990-02-20T00:00:00"/>
    <x v="0"/>
    <n v="19"/>
    <s v="ні"/>
    <d v="2009-09-02T00:00:00"/>
    <m/>
    <n v="13"/>
    <m/>
    <x v="1"/>
    <s v=""/>
    <n v="1"/>
    <x v="0"/>
  </r>
  <r>
    <n v="71"/>
    <s v="Вовк Федір Кіндратович"/>
    <d v="1975-07-07T00:00:00"/>
    <x v="0"/>
    <n v="38"/>
    <s v="ні"/>
    <d v="2013-11-16T00:00:00"/>
    <d v="2014-05-14T00:00:00"/>
    <n v="0"/>
    <s v="за згодою сторін"/>
    <x v="1"/>
    <n v="38"/>
    <n v="0"/>
    <x v="2"/>
  </r>
  <r>
    <n v="94"/>
    <s v="Гордієнко Наталія Володимирівна"/>
    <d v="1959-02-13T00:00:00"/>
    <x v="1"/>
    <n v="52"/>
    <s v="ні"/>
    <d v="2011-05-02T00:00:00"/>
    <d v="2016-09-28T00:00:00"/>
    <n v="5"/>
    <s v="за згодою сторін"/>
    <x v="1"/>
    <n v="57"/>
    <n v="0"/>
    <x v="1"/>
  </r>
  <r>
    <n v="100"/>
    <s v="Денисенко Лариса Володимирівна"/>
    <d v="1968-03-26T00:00:00"/>
    <x v="1"/>
    <n v="40"/>
    <s v="ні"/>
    <d v="2008-04-08T00:00:00"/>
    <d v="2013-02-15T00:00:00"/>
    <n v="4"/>
    <s v="за власним бажанням"/>
    <x v="1"/>
    <n v="44"/>
    <n v="0"/>
    <x v="2"/>
  </r>
  <r>
    <n v="25"/>
    <s v="Іванов Микола Кузьмич"/>
    <d v="1992-11-23T00:00:00"/>
    <x v="0"/>
    <n v="21"/>
    <s v="ні"/>
    <d v="2014-02-20T00:00:00"/>
    <m/>
    <n v="8"/>
    <m/>
    <x v="1"/>
    <s v=""/>
    <n v="1"/>
    <x v="1"/>
  </r>
  <r>
    <n v="74"/>
    <s v="Ковальова Ірина Федорівна"/>
    <d v="1960-05-24T00:00:00"/>
    <x v="1"/>
    <n v="51"/>
    <s v="ні"/>
    <d v="2011-07-05T00:00:00"/>
    <m/>
    <n v="11"/>
    <m/>
    <x v="1"/>
    <s v=""/>
    <n v="1"/>
    <x v="0"/>
  </r>
  <r>
    <n v="45"/>
    <s v="Кушнір Ігор Миколайович"/>
    <d v="1973-01-25T00:00:00"/>
    <x v="0"/>
    <n v="42"/>
    <s v="ні"/>
    <d v="2015-02-06T00:00:00"/>
    <m/>
    <n v="7"/>
    <m/>
    <x v="1"/>
    <s v=""/>
    <n v="1"/>
    <x v="1"/>
  </r>
  <r>
    <n v="30"/>
    <s v="Левченко Юлія Андріївна"/>
    <d v="1990-12-13T00:00:00"/>
    <x v="1"/>
    <n v="16"/>
    <s v="ні"/>
    <d v="2007-12-01T00:00:00"/>
    <m/>
    <n v="15"/>
    <m/>
    <x v="1"/>
    <s v=""/>
    <n v="1"/>
    <x v="0"/>
  </r>
  <r>
    <n v="20"/>
    <s v="Лисенко Микола Віталійович"/>
    <d v="1951-03-28T00:00:00"/>
    <x v="0"/>
    <n v="64"/>
    <s v="так"/>
    <d v="2015-08-17T00:00:00"/>
    <m/>
    <n v="7"/>
    <m/>
    <x v="1"/>
    <s v=""/>
    <n v="1"/>
    <x v="1"/>
  </r>
  <r>
    <n v="47"/>
    <s v="Мартинюк Адам Іванович"/>
    <d v="1960-03-19T00:00:00"/>
    <x v="0"/>
    <n v="47"/>
    <s v="ні"/>
    <d v="2007-06-24T00:00:00"/>
    <m/>
    <n v="15"/>
    <m/>
    <x v="1"/>
    <s v=""/>
    <n v="1"/>
    <x v="0"/>
  </r>
  <r>
    <n v="65"/>
    <s v="Терещенко Михайло Іванович"/>
    <d v="1973-06-08T00:00:00"/>
    <x v="0"/>
    <n v="40"/>
    <s v="ні"/>
    <d v="2013-12-18T00:00:00"/>
    <d v="2015-06-11T00:00:00"/>
    <n v="1"/>
    <s v="за згодою сторін"/>
    <x v="1"/>
    <n v="42"/>
    <n v="0"/>
    <x v="2"/>
  </r>
  <r>
    <n v="14"/>
    <s v="Ткачук Геннадій Віталійович"/>
    <d v="1986-04-04T00:00:00"/>
    <x v="0"/>
    <n v="24"/>
    <s v="ні"/>
    <d v="2010-07-18T00:00:00"/>
    <d v="2017-05-01T00:00:00"/>
    <n v="6"/>
    <s v="за власним бажанням"/>
    <x v="1"/>
    <n v="31"/>
    <n v="0"/>
    <x v="1"/>
  </r>
  <r>
    <n v="76"/>
    <s v="Іщенко Михайло Олексійович"/>
    <d v="1964-09-09T00:00:00"/>
    <x v="0"/>
    <n v="50"/>
    <s v="ні"/>
    <d v="2014-11-02T00:00:00"/>
    <m/>
    <n v="8"/>
    <m/>
    <x v="2"/>
    <s v=""/>
    <n v="1"/>
    <x v="1"/>
  </r>
  <r>
    <n v="8"/>
    <s v="Ковальчук Кирило Сергійович"/>
    <d v="1989-09-08T00:00:00"/>
    <x v="0"/>
    <n v="19"/>
    <s v="ні"/>
    <d v="2008-09-15T00:00:00"/>
    <d v="2016-09-20T00:00:00"/>
    <n v="8"/>
    <s v="не відповідність"/>
    <x v="2"/>
    <n v="27"/>
    <n v="0"/>
    <x v="1"/>
  </r>
  <r>
    <n v="51"/>
    <s v="Кулик Григорій Іванович"/>
    <d v="1977-10-29T00:00:00"/>
    <x v="0"/>
    <n v="35"/>
    <s v="ні"/>
    <d v="2013-02-01T00:00:00"/>
    <d v="2020-04-25T00:00:00"/>
    <n v="7"/>
    <s v="скорочення штату"/>
    <x v="2"/>
    <n v="42"/>
    <n v="0"/>
    <x v="1"/>
  </r>
  <r>
    <n v="41"/>
    <s v="Мазур Алла Григорівна"/>
    <d v="1991-08-27T00:00:00"/>
    <x v="1"/>
    <n v="16"/>
    <s v="ні"/>
    <d v="2008-03-07T00:00:00"/>
    <d v="2008-09-08T00:00:00"/>
    <n v="0"/>
    <s v="не відповідність"/>
    <x v="2"/>
    <n v="17"/>
    <n v="0"/>
    <x v="2"/>
  </r>
  <r>
    <n v="83"/>
    <s v="Москаленко Лариса Віталіївна"/>
    <d v="1942-02-21T00:00:00"/>
    <x v="1"/>
    <n v="69"/>
    <s v="так"/>
    <d v="2011-06-03T00:00:00"/>
    <d v="2020-08-02T00:00:00"/>
    <n v="9"/>
    <s v="за власним бажанням"/>
    <x v="2"/>
    <n v="78"/>
    <n v="0"/>
    <x v="1"/>
  </r>
  <r>
    <n v="39"/>
    <s v="Панченко Любов Михайлівна"/>
    <d v="1970-12-09T00:00:00"/>
    <x v="1"/>
    <n v="36"/>
    <s v="ні"/>
    <d v="2007-01-15T00:00:00"/>
    <d v="2007-09-09T00:00:00"/>
    <n v="0"/>
    <s v="за згодою сторін"/>
    <x v="2"/>
    <n v="36"/>
    <n v="0"/>
    <x v="2"/>
  </r>
  <r>
    <n v="54"/>
    <s v="Семенюк Валентина Петрівна"/>
    <d v="1976-04-29T00:00:00"/>
    <x v="1"/>
    <n v="38"/>
    <s v="ні"/>
    <d v="2014-10-01T00:00:00"/>
    <m/>
    <n v="8"/>
    <m/>
    <x v="2"/>
    <s v=""/>
    <n v="1"/>
    <x v="1"/>
  </r>
  <r>
    <n v="69"/>
    <s v="Тарасенко Катерина Миколаївна"/>
    <d v="1981-10-16T00:00:00"/>
    <x v="1"/>
    <n v="25"/>
    <s v="ні"/>
    <d v="2007-08-27T00:00:00"/>
    <m/>
    <n v="15"/>
    <m/>
    <x v="2"/>
    <s v=""/>
    <n v="1"/>
    <x v="0"/>
  </r>
  <r>
    <n v="42"/>
    <s v="Хоменко Микола Григорович"/>
    <d v="1959-06-09T00:00:00"/>
    <x v="0"/>
    <n v="50"/>
    <s v="ні"/>
    <d v="2010-01-08T00:00:00"/>
    <d v="2016-10-07T00:00:00"/>
    <n v="6"/>
    <s v="за згодою сторін"/>
    <x v="2"/>
    <n v="57"/>
    <n v="0"/>
    <x v="1"/>
  </r>
  <r>
    <n v="34"/>
    <s v="Гаврилюк Михайло Віталійович"/>
    <d v="1959-01-19T00:00:00"/>
    <x v="0"/>
    <n v="55"/>
    <s v="ні"/>
    <d v="2014-03-23T00:00:00"/>
    <d v="2019-04-20T00:00:00"/>
    <n v="5"/>
    <s v="за власним бажанням"/>
    <x v="3"/>
    <n v="60"/>
    <n v="0"/>
    <x v="1"/>
  </r>
  <r>
    <n v="89"/>
    <s v="Герасименко Світлана Іванівна"/>
    <d v="1983-06-22T00:00:00"/>
    <x v="1"/>
    <n v="26"/>
    <s v="ні"/>
    <d v="2010-05-15T00:00:00"/>
    <m/>
    <n v="12"/>
    <m/>
    <x v="3"/>
    <s v=""/>
    <n v="1"/>
    <x v="0"/>
  </r>
  <r>
    <n v="92"/>
    <s v="Гончар Олесь Терентійович"/>
    <d v="1986-10-15T00:00:00"/>
    <x v="0"/>
    <n v="24"/>
    <s v="ні"/>
    <d v="2010-11-23T00:00:00"/>
    <d v="2021-10-23T00:00:00"/>
    <n v="10"/>
    <s v="завершення трудового договору"/>
    <x v="3"/>
    <n v="35"/>
    <n v="0"/>
    <x v="0"/>
  </r>
  <r>
    <n v="53"/>
    <s v="Костюк Марта Олегівна"/>
    <d v="1982-04-16T00:00:00"/>
    <x v="1"/>
    <n v="27"/>
    <s v="ні"/>
    <d v="2010-02-09T00:00:00"/>
    <d v="2020-02-22T00:00:00"/>
    <n v="10"/>
    <s v="за власним бажанням"/>
    <x v="3"/>
    <n v="37"/>
    <n v="0"/>
    <x v="0"/>
  </r>
  <r>
    <n v="26"/>
    <s v="Кузьменко Юлія Леонідівна"/>
    <d v="1975-09-16T00:00:00"/>
    <x v="1"/>
    <n v="34"/>
    <s v="ні"/>
    <d v="2009-12-07T00:00:00"/>
    <d v="2015-11-21T00:00:00"/>
    <n v="5"/>
    <s v="за власним бажанням"/>
    <x v="3"/>
    <n v="40"/>
    <n v="0"/>
    <x v="1"/>
  </r>
  <r>
    <n v="23"/>
    <s v="Павленко Віктор Олексійович"/>
    <d v="1946-08-17T00:00:00"/>
    <x v="0"/>
    <n v="67"/>
    <s v="так"/>
    <d v="2014-04-24T00:00:00"/>
    <d v="2015-03-22T00:00:00"/>
    <n v="0"/>
    <s v="не відповідність"/>
    <x v="3"/>
    <n v="68"/>
    <n v="0"/>
    <x v="2"/>
  </r>
  <r>
    <n v="43"/>
    <s v="Попович Павло Романович"/>
    <d v="1979-08-28T00:00:00"/>
    <x v="0"/>
    <n v="34"/>
    <s v="ні"/>
    <d v="2014-01-19T00:00:00"/>
    <d v="2015-05-25T00:00:00"/>
    <n v="1"/>
    <s v="порушення трудового договору"/>
    <x v="3"/>
    <n v="35"/>
    <n v="0"/>
    <x v="2"/>
  </r>
  <r>
    <n v="96"/>
    <s v="Прокопенко Денис Геннадійович"/>
    <d v="1977-07-18T00:00:00"/>
    <x v="0"/>
    <n v="33"/>
    <s v="ні"/>
    <d v="2010-09-20T00:00:00"/>
    <d v="2018-11-10T00:00:00"/>
    <n v="8"/>
    <s v="за власним бажанням"/>
    <x v="3"/>
    <n v="41"/>
    <n v="0"/>
    <x v="1"/>
  </r>
  <r>
    <n v="6"/>
    <s v="Ткаченко Олександр Миколайович"/>
    <d v="1939-01-01T00:00:00"/>
    <x v="0"/>
    <n v="75"/>
    <s v="так"/>
    <d v="2014-08-30T00:00:00"/>
    <d v="2017-12-07T00:00:00"/>
    <n v="3"/>
    <s v="за власним бажанням"/>
    <x v="3"/>
    <n v="78"/>
    <n v="0"/>
    <x v="2"/>
  </r>
  <r>
    <n v="11"/>
    <s v="Шевчук Святослав Юрійович"/>
    <d v="1953-05-15T00:00:00"/>
    <x v="0"/>
    <n v="59"/>
    <s v="ні"/>
    <d v="2012-07-24T00:00:00"/>
    <d v="2021-02-24T00:00:00"/>
    <n v="8"/>
    <s v="за власним бажанням"/>
    <x v="3"/>
    <n v="67"/>
    <n v="0"/>
    <x v="1"/>
  </r>
  <r>
    <n v="29"/>
    <s v="Василенко Микола Прокопович"/>
    <d v="1992-10-18T00:00:00"/>
    <x v="0"/>
    <n v="16"/>
    <s v="ні"/>
    <d v="2009-03-26T00:00:00"/>
    <d v="2009-04-07T00:00:00"/>
    <n v="0"/>
    <s v="за власним бажанням"/>
    <x v="4"/>
    <n v="16"/>
    <n v="0"/>
    <x v="2"/>
  </r>
  <r>
    <n v="86"/>
    <s v="Гуменюк Наталія Петрівна"/>
    <d v="1990-08-23T00:00:00"/>
    <x v="1"/>
    <n v="23"/>
    <s v="ні"/>
    <d v="2013-10-15T00:00:00"/>
    <m/>
    <n v="9"/>
    <m/>
    <x v="4"/>
    <s v=""/>
    <n v="1"/>
    <x v="1"/>
  </r>
  <r>
    <n v="33"/>
    <s v="Карпенко Віталій Опанасович"/>
    <d v="1961-08-23T00:00:00"/>
    <x v="0"/>
    <n v="46"/>
    <s v="ні"/>
    <d v="2008-08-14T00:00:00"/>
    <d v="2015-07-28T00:00:00"/>
    <n v="6"/>
    <s v="за згодою сторін"/>
    <x v="4"/>
    <n v="53"/>
    <n v="0"/>
    <x v="1"/>
  </r>
  <r>
    <n v="66"/>
    <s v="Колесник Євдокія Василівна"/>
    <d v="1978-02-04T00:00:00"/>
    <x v="1"/>
    <n v="32"/>
    <s v="ні"/>
    <d v="2010-10-22T00:00:00"/>
    <d v="2014-12-10T00:00:00"/>
    <n v="4"/>
    <s v="за власним бажанням"/>
    <x v="4"/>
    <n v="36"/>
    <n v="0"/>
    <x v="2"/>
  </r>
  <r>
    <n v="57"/>
    <s v="Кравець Інеса Миколаївна"/>
    <d v="1966-02-09T00:00:00"/>
    <x v="1"/>
    <n v="45"/>
    <s v="ні"/>
    <d v="2011-11-10T00:00:00"/>
    <d v="2016-05-22T00:00:00"/>
    <n v="4"/>
    <s v="за власним бажанням"/>
    <x v="4"/>
    <n v="50"/>
    <n v="0"/>
    <x v="2"/>
  </r>
  <r>
    <n v="7"/>
    <s v="Кравченко Віктор Андрійович"/>
    <d v="1958-02-02T00:00:00"/>
    <x v="0"/>
    <n v="54"/>
    <s v="ні"/>
    <d v="2012-10-28T00:00:00"/>
    <d v="2017-12-22T00:00:00"/>
    <n v="5"/>
    <s v="за власним бажанням"/>
    <x v="4"/>
    <n v="59"/>
    <n v="0"/>
    <x v="1"/>
  </r>
  <r>
    <n v="64"/>
    <s v="Нестеренко Олександр Володимирович"/>
    <d v="1964-11-29T00:00:00"/>
    <x v="0"/>
    <n v="50"/>
    <s v="ні"/>
    <d v="2015-04-11T00:00:00"/>
    <d v="2016-09-14T00:00:00"/>
    <n v="1"/>
    <s v="за власним бажанням"/>
    <x v="4"/>
    <n v="51"/>
    <n v="0"/>
    <x v="2"/>
  </r>
  <r>
    <n v="37"/>
    <s v="Попова Надія Марківна"/>
    <d v="1937-06-19T00:00:00"/>
    <x v="1"/>
    <n v="72"/>
    <s v="так"/>
    <d v="2009-06-30T00:00:00"/>
    <d v="2010-06-21T00:00:00"/>
    <n v="0"/>
    <s v="за згодою сторін"/>
    <x v="4"/>
    <n v="73"/>
    <n v="0"/>
    <x v="2"/>
  </r>
  <r>
    <n v="15"/>
    <s v="Савченко Надія Вікторівна"/>
    <d v="1965-03-30T00:00:00"/>
    <x v="1"/>
    <n v="42"/>
    <s v="ні"/>
    <d v="2007-10-30T00:00:00"/>
    <d v="2015-09-02T00:00:00"/>
    <n v="7"/>
    <s v="не відповідність"/>
    <x v="4"/>
    <n v="50"/>
    <n v="0"/>
    <x v="1"/>
  </r>
  <r>
    <n v="95"/>
    <s v="Степаненко Тарас Миколайович"/>
    <d v="1981-08-28T00:00:00"/>
    <x v="0"/>
    <n v="27"/>
    <s v="ні"/>
    <d v="2008-11-18T00:00:00"/>
    <d v="2017-04-17T00:00:00"/>
    <n v="8"/>
    <s v="не відповідність"/>
    <x v="4"/>
    <n v="35"/>
    <n v="0"/>
    <x v="1"/>
  </r>
  <r>
    <n v="78"/>
    <s v="Бабенко Микола Андрійович"/>
    <d v="1946-09-20T00:00:00"/>
    <x v="0"/>
    <n v="67"/>
    <s v="так"/>
    <d v="2014-05-26T00:00:00"/>
    <m/>
    <n v="8"/>
    <m/>
    <x v="5"/>
    <s v=""/>
    <n v="1"/>
    <x v="1"/>
  </r>
  <r>
    <n v="4"/>
    <s v="Бондаренко Олена Анатоліївна"/>
    <d v="1979-11-08T00:00:00"/>
    <x v="1"/>
    <n v="28"/>
    <s v="ні"/>
    <d v="2008-06-11T00:00:00"/>
    <d v="2018-09-14T00:00:00"/>
    <n v="10"/>
    <s v="за згодою сторін"/>
    <x v="5"/>
    <n v="38"/>
    <n v="0"/>
    <x v="0"/>
  </r>
  <r>
    <n v="85"/>
    <s v="Власенко Сергій Володимирович"/>
    <d v="1979-03-24T00:00:00"/>
    <x v="0"/>
    <n v="35"/>
    <s v="ні"/>
    <d v="2014-06-27T00:00:00"/>
    <m/>
    <n v="8"/>
    <m/>
    <x v="5"/>
    <s v=""/>
    <n v="1"/>
    <x v="1"/>
  </r>
  <r>
    <n v="73"/>
    <s v="Дяченко Анатолій Миколайович"/>
    <d v="1987-05-25T00:00:00"/>
    <x v="0"/>
    <n v="24"/>
    <s v="ні"/>
    <d v="2012-04-19T00:00:00"/>
    <d v="2019-05-23T00:00:00"/>
    <n v="7"/>
    <s v="не відповідність"/>
    <x v="5"/>
    <n v="31"/>
    <n v="0"/>
    <x v="1"/>
  </r>
  <r>
    <n v="22"/>
    <s v="Клименко Олександр Вікторович"/>
    <d v="1958-06-05T00:00:00"/>
    <x v="0"/>
    <n v="52"/>
    <s v="ні"/>
    <d v="2011-01-26T00:00:00"/>
    <d v="2020-04-14T00:00:00"/>
    <n v="9"/>
    <s v="за згодою сторін"/>
    <x v="5"/>
    <n v="61"/>
    <n v="0"/>
    <x v="1"/>
  </r>
  <r>
    <n v="59"/>
    <s v="Козак Тарас Романович"/>
    <d v="1989-06-24T00:00:00"/>
    <x v="0"/>
    <n v="20"/>
    <s v="ні"/>
    <d v="2010-04-13T00:00:00"/>
    <m/>
    <n v="12"/>
    <m/>
    <x v="5"/>
    <s v=""/>
    <n v="1"/>
    <x v="0"/>
  </r>
  <r>
    <n v="24"/>
    <s v="Кравчук Леонід Макарович"/>
    <d v="1985-10-10T00:00:00"/>
    <x v="0"/>
    <n v="26"/>
    <s v="ні"/>
    <d v="2012-06-22T00:00:00"/>
    <d v="2018-05-02T00:00:00"/>
    <n v="5"/>
    <s v="скорочення штату"/>
    <x v="5"/>
    <n v="32"/>
    <n v="0"/>
    <x v="1"/>
  </r>
  <r>
    <n v="21"/>
    <s v="Петренко Михайло Миколайович"/>
    <d v="1966-03-06T00:00:00"/>
    <x v="0"/>
    <n v="45"/>
    <s v="ні"/>
    <d v="2011-09-07T00:00:00"/>
    <d v="2013-10-18T00:00:00"/>
    <n v="2"/>
    <s v="скорочення штату"/>
    <x v="5"/>
    <n v="47"/>
    <n v="0"/>
    <x v="2"/>
  </r>
  <r>
    <n v="67"/>
    <s v="Попов Леонід Іванович"/>
    <d v="1985-11-05T00:00:00"/>
    <x v="0"/>
    <n v="26"/>
    <s v="ні"/>
    <d v="2012-08-25T00:00:00"/>
    <d v="2013-12-11T00:00:00"/>
    <n v="1"/>
    <s v="за власним бажанням"/>
    <x v="5"/>
    <n v="28"/>
    <n v="0"/>
    <x v="2"/>
  </r>
  <r>
    <n v="90"/>
    <s v="Сергієнко Раїса Михайлівна"/>
    <d v="1981-09-26T00:00:00"/>
    <x v="1"/>
    <n v="27"/>
    <s v="ні"/>
    <d v="2009-02-22T00:00:00"/>
    <d v="2009-11-14T00:00:00"/>
    <n v="0"/>
    <s v="не відповідність"/>
    <x v="5"/>
    <n v="28"/>
    <n v="0"/>
    <x v="2"/>
  </r>
  <r>
    <n v="32"/>
    <s v="Сидоренко Віктор Дмитрович"/>
    <d v="1976-09-29T00:00:00"/>
    <x v="0"/>
    <n v="36"/>
    <s v="ні"/>
    <d v="2013-08-12T00:00:00"/>
    <m/>
    <n v="9"/>
    <m/>
    <x v="5"/>
    <s v=""/>
    <n v="1"/>
    <x v="1"/>
  </r>
  <r>
    <n v="61"/>
    <s v="Федоренко Борис Михайлович"/>
    <d v="1982-01-23T00:00:00"/>
    <x v="0"/>
    <n v="28"/>
    <s v="ні"/>
    <d v="2010-12-25T00:00:00"/>
    <m/>
    <n v="12"/>
    <m/>
    <x v="5"/>
    <s v=""/>
    <n v="1"/>
    <x v="0"/>
  </r>
  <r>
    <n v="31"/>
    <s v="Харченко Марія Федорівна"/>
    <d v="1970-06-18T00:00:00"/>
    <x v="1"/>
    <n v="42"/>
    <s v="ні"/>
    <d v="2013-03-05T00:00:00"/>
    <d v="2021-03-15T00:00:00"/>
    <n v="8"/>
    <s v="не відповідність"/>
    <x v="5"/>
    <n v="50"/>
    <n v="0"/>
    <x v="1"/>
  </r>
  <r>
    <n v="72"/>
    <s v="Демченко Тетяна Василівна"/>
    <d v="1992-12-10T00:00:00"/>
    <x v="1"/>
    <n v="16"/>
    <s v="ні"/>
    <d v="2009-04-27T00:00:00"/>
    <d v="2014-10-19T00:00:00"/>
    <n v="5"/>
    <s v="не відповідність"/>
    <x v="6"/>
    <n v="21"/>
    <n v="0"/>
    <x v="1"/>
  </r>
  <r>
    <n v="68"/>
    <s v="Зінченко Олександр Володимирович"/>
    <d v="1994-10-24T00:00:00"/>
    <x v="0"/>
    <n v="13"/>
    <s v="ні"/>
    <d v="2008-10-17T00:00:00"/>
    <d v="2018-12-25T00:00:00"/>
    <n v="10"/>
    <s v="скорочення штату"/>
    <x v="6"/>
    <n v="24"/>
    <n v="0"/>
    <x v="0"/>
  </r>
  <r>
    <n v="3"/>
    <s v="Коваленко Анна Миколаївна"/>
    <d v="1965-04-20T00:00:00"/>
    <x v="1"/>
    <n v="47"/>
    <s v="ні"/>
    <d v="2012-05-21T00:00:00"/>
    <d v="2022-10-02T00:00:00"/>
    <n v="10"/>
    <s v="за власним бажанням"/>
    <x v="6"/>
    <n v="57"/>
    <n v="0"/>
    <x v="0"/>
  </r>
  <r>
    <n v="58"/>
    <s v="Коломієць Володимир Родіонович"/>
    <d v="1977-08-05T00:00:00"/>
    <x v="0"/>
    <n v="29"/>
    <s v="ні"/>
    <d v="2007-07-26T00:00:00"/>
    <m/>
    <n v="15"/>
    <m/>
    <x v="6"/>
    <s v=""/>
    <n v="1"/>
    <x v="0"/>
  </r>
  <r>
    <n v="91"/>
    <s v="Корнієнко Олександр Сергійович"/>
    <d v="1962-10-25T00:00:00"/>
    <x v="0"/>
    <n v="52"/>
    <s v="ні"/>
    <d v="2015-09-18T00:00:00"/>
    <d v="2019-11-25T00:00:00"/>
    <n v="4"/>
    <s v="за власним бажанням"/>
    <x v="6"/>
    <n v="57"/>
    <n v="0"/>
    <x v="2"/>
  </r>
  <r>
    <n v="93"/>
    <s v="Мартиненко Микола Володимирович"/>
    <d v="1989-08-09T00:00:00"/>
    <x v="0"/>
    <n v="23"/>
    <s v="ні"/>
    <d v="2012-11-29T00:00:00"/>
    <m/>
    <n v="10"/>
    <m/>
    <x v="6"/>
    <s v=""/>
    <n v="1"/>
    <x v="0"/>
  </r>
  <r>
    <n v="17"/>
    <s v="Марченко Оксана Михайлівна"/>
    <d v="1953-07-04T00:00:00"/>
    <x v="1"/>
    <n v="55"/>
    <s v="ні"/>
    <d v="2008-12-20T00:00:00"/>
    <d v="2017-12-02T00:00:00"/>
    <n v="8"/>
    <s v="за власним бажанням"/>
    <x v="6"/>
    <n v="64"/>
    <n v="0"/>
    <x v="1"/>
  </r>
  <r>
    <n v="70"/>
    <s v="Міщенко Юлія Валеріївна"/>
    <d v="1974-01-19T00:00:00"/>
    <x v="1"/>
    <n v="35"/>
    <s v="ні"/>
    <d v="2009-08-01T00:00:00"/>
    <d v="2014-11-17T00:00:00"/>
    <n v="5"/>
    <s v="не відповідність"/>
    <x v="6"/>
    <n v="40"/>
    <n v="0"/>
    <x v="1"/>
  </r>
  <r>
    <n v="10"/>
    <s v="Олійник Борис Ілліч"/>
    <d v="1955-07-21T00:00:00"/>
    <x v="0"/>
    <n v="59"/>
    <s v="ні"/>
    <d v="2015-01-05T00:00:00"/>
    <m/>
    <n v="7"/>
    <m/>
    <x v="6"/>
    <s v=""/>
    <n v="1"/>
    <x v="1"/>
  </r>
  <r>
    <n v="75"/>
    <s v="Пилипенко Юлія Вікторівна"/>
    <d v="1944-08-16T00:00:00"/>
    <x v="1"/>
    <n v="62"/>
    <s v="так"/>
    <d v="2007-05-23T00:00:00"/>
    <d v="2017-08-28T00:00:00"/>
    <n v="10"/>
    <s v="не відповідність"/>
    <x v="6"/>
    <n v="73"/>
    <n v="0"/>
    <x v="0"/>
  </r>
  <r>
    <n v="49"/>
    <s v="Приходько Анастасія Костянтинівна"/>
    <d v="1991-12-13T00:00:00"/>
    <x v="1"/>
    <n v="16"/>
    <s v="ні"/>
    <d v="2008-05-10T00:00:00"/>
    <d v="2014-02-12T00:00:00"/>
    <n v="5"/>
    <s v="за власним бажанням"/>
    <x v="6"/>
    <n v="22"/>
    <n v="0"/>
    <x v="1"/>
  </r>
  <r>
    <n v="88"/>
    <s v="Радченко Володимир Іванович"/>
    <d v="1973-01-31T00:00:00"/>
    <x v="0"/>
    <n v="36"/>
    <s v="ні"/>
    <d v="2009-10-04T00:00:00"/>
    <d v="2020-06-23T00:00:00"/>
    <n v="10"/>
    <s v="не відповідність"/>
    <x v="6"/>
    <n v="47"/>
    <n v="0"/>
    <x v="0"/>
  </r>
  <r>
    <n v="52"/>
    <s v="Романенко Віктор Дмитрович"/>
    <d v="1962-08-23T00:00:00"/>
    <x v="0"/>
    <n v="52"/>
    <s v="ні"/>
    <d v="2015-03-10T00:00:00"/>
    <m/>
    <n v="7"/>
    <m/>
    <x v="6"/>
    <s v=""/>
    <n v="1"/>
    <x v="1"/>
  </r>
  <r>
    <n v="28"/>
    <s v="Савчук Ольга Миколаївна"/>
    <d v="1976-07-26T00:00:00"/>
    <x v="1"/>
    <n v="31"/>
    <s v="ні"/>
    <d v="2007-09-28T00:00:00"/>
    <m/>
    <n v="15"/>
    <m/>
    <x v="6"/>
    <s v=""/>
    <n v="1"/>
    <x v="0"/>
  </r>
  <r>
    <n v="80"/>
    <s v="Тищенко Микола Миколайович"/>
    <d v="1974-06-16T00:00:00"/>
    <x v="0"/>
    <n v="34"/>
    <s v="ні"/>
    <d v="2009-01-21T00:00:00"/>
    <d v="2012-10-18T00:00:00"/>
    <n v="3"/>
    <s v="за власним бажанням"/>
    <x v="6"/>
    <n v="38"/>
    <n v="0"/>
    <x v="2"/>
  </r>
  <r>
    <n v="35"/>
    <s v="Швець Ольга Миколаївна"/>
    <d v="1971-02-12T00:00:00"/>
    <x v="1"/>
    <n v="39"/>
    <s v="ні"/>
    <d v="2010-03-12T00:00:00"/>
    <d v="2018-09-29T00:00:00"/>
    <n v="8"/>
    <s v="за власним бажанням"/>
    <x v="6"/>
    <n v="47"/>
    <n v="0"/>
    <x v="1"/>
  </r>
  <r>
    <n v="60"/>
    <s v="Яковенко Павло Олександрович"/>
    <d v="1967-03-20T00:00:00"/>
    <x v="0"/>
    <n v="44"/>
    <s v="ні"/>
    <d v="2012-03-18T00:00:00"/>
    <m/>
    <n v="10"/>
    <m/>
    <x v="6"/>
    <s v=""/>
    <n v="1"/>
    <x v="0"/>
  </r>
  <r>
    <n v="87"/>
    <s v="Яценко Тамара Олександрівна"/>
    <d v="1956-01-17T00:00:00"/>
    <x v="1"/>
    <n v="51"/>
    <s v="ні"/>
    <d v="2007-02-16T00:00:00"/>
    <m/>
    <n v="15"/>
    <m/>
    <x v="6"/>
    <s v=""/>
    <n v="1"/>
    <x v="0"/>
  </r>
  <r>
    <n v="63"/>
    <s v="Білоус Дмитро Григорович"/>
    <d v="1965-06-30T00:00:00"/>
    <x v="0"/>
    <n v="42"/>
    <s v="ні"/>
    <d v="2008-02-03T00:00:00"/>
    <m/>
    <n v="14"/>
    <m/>
    <x v="7"/>
    <s v=""/>
    <n v="1"/>
    <x v="0"/>
  </r>
  <r>
    <n v="16"/>
    <s v="Бондар Віктор Васильович"/>
    <d v="1987-11-14T00:00:00"/>
    <x v="0"/>
    <n v="27"/>
    <s v="ні"/>
    <d v="2015-06-14T00:00:00"/>
    <m/>
    <n v="7"/>
    <m/>
    <x v="7"/>
    <s v=""/>
    <n v="1"/>
    <x v="1"/>
  </r>
  <r>
    <n v="98"/>
    <s v="Волошин Августин Іванович"/>
    <d v="1964-01-14T00:00:00"/>
    <x v="0"/>
    <n v="51"/>
    <s v="ні"/>
    <d v="2015-07-16T00:00:00"/>
    <d v="2016-01-15T00:00:00"/>
    <n v="0"/>
    <s v="за згодою сторін"/>
    <x v="7"/>
    <n v="52"/>
    <n v="0"/>
    <x v="2"/>
  </r>
  <r>
    <n v="82"/>
    <s v="Жук Сергій Якович"/>
    <d v="1989-01-01T00:00:00"/>
    <x v="0"/>
    <n v="19"/>
    <s v="ні"/>
    <d v="2008-07-13T00:00:00"/>
    <m/>
    <n v="14"/>
    <m/>
    <x v="7"/>
    <s v=""/>
    <n v="1"/>
    <x v="0"/>
  </r>
  <r>
    <n v="79"/>
    <s v="Кириченко Раїса Опанасівна"/>
    <d v="1954-10-26T00:00:00"/>
    <x v="1"/>
    <n v="60"/>
    <s v="так"/>
    <d v="2015-05-13T00:00:00"/>
    <d v="2020-03-27T00:00:00"/>
    <n v="4"/>
    <s v="за власним бажанням"/>
    <x v="7"/>
    <n v="65"/>
    <n v="0"/>
    <x v="2"/>
  </r>
  <r>
    <n v="50"/>
    <s v="Костенко Ліна Василівна"/>
    <d v="1982-08-14T00:00:00"/>
    <x v="1"/>
    <n v="27"/>
    <s v="ні"/>
    <d v="2010-06-16T00:00:00"/>
    <d v="2011-02-19T00:00:00"/>
    <n v="0"/>
    <s v="завершення трудового договору"/>
    <x v="7"/>
    <n v="28"/>
    <n v="0"/>
    <x v="2"/>
  </r>
  <r>
    <n v="12"/>
    <s v="Поліщук Катерина Олександрівна"/>
    <d v="1965-10-06T00:00:00"/>
    <x v="1"/>
    <n v="41"/>
    <s v="ні"/>
    <d v="2007-04-21T00:00:00"/>
    <m/>
    <n v="15"/>
    <m/>
    <x v="7"/>
    <s v=""/>
    <n v="1"/>
    <x v="0"/>
  </r>
  <r>
    <n v="27"/>
    <s v="Пономаренко Євген Порфирович"/>
    <d v="1972-05-13T00:00:00"/>
    <x v="0"/>
    <n v="35"/>
    <s v="ні"/>
    <d v="2008-01-02T00:00:00"/>
    <d v="2008-04-24T00:00:00"/>
    <n v="0"/>
    <s v="скорочення штату"/>
    <x v="7"/>
    <n v="35"/>
    <n v="0"/>
    <x v="2"/>
  </r>
  <r>
    <n v="38"/>
    <s v="Романюк Володимир Омелянович"/>
    <d v="1984-08-16T00:00:00"/>
    <x v="0"/>
    <n v="26"/>
    <s v="ні"/>
    <d v="2011-03-31T00:00:00"/>
    <m/>
    <n v="11"/>
    <m/>
    <x v="7"/>
    <s v=""/>
    <n v="1"/>
    <x v="0"/>
  </r>
  <r>
    <n v="81"/>
    <s v="Тимошенко Юлія Володимирівна"/>
    <d v="1988-05-09T00:00:00"/>
    <x v="1"/>
    <n v="24"/>
    <s v="ні"/>
    <d v="2012-12-31T00:00:00"/>
    <d v="2015-06-23T00:00:00"/>
    <n v="2"/>
    <s v="за згодою сторін"/>
    <x v="7"/>
    <n v="27"/>
    <n v="0"/>
    <x v="2"/>
  </r>
  <r>
    <n v="56"/>
    <s v="Ткач Михайло Миколайович"/>
    <d v="1960-03-12T00:00:00"/>
    <x v="0"/>
    <n v="49"/>
    <s v="ні"/>
    <d v="2009-05-29T00:00:00"/>
    <m/>
    <n v="13"/>
    <m/>
    <x v="7"/>
    <s v=""/>
    <n v="1"/>
    <x v="0"/>
  </r>
  <r>
    <n v="2"/>
    <s v="Шевченко Тарас Григорович"/>
    <d v="1942-04-06T00:00:00"/>
    <x v="0"/>
    <n v="72"/>
    <s v="так"/>
    <d v="2014-07-29T00:00:00"/>
    <d v="2015-06-27T00:00:00"/>
    <n v="0"/>
    <s v="за згодою сторін"/>
    <x v="7"/>
    <n v="73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969F9-3BD2-4F90-984A-1758CAC47376}" name="Зведена таблиця16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2:A33" firstHeaderRow="1" firstDataRow="1" firstDataCol="0"/>
  <pivotFields count="14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Сума з Працює в даний момент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DBA51-8FC0-411F-B0C5-450CEDD29145}" name="Зведена таблиця15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G28:G29" firstHeaderRow="1" firstDataRow="1" firstDataCol="0"/>
  <pivotFields count="14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Середнє з Стаж" fld="8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AB43D-2503-4DB4-9ECE-536FE92AD449}" name="Зведена таблиця10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numFmtId="14" showAll="0"/>
    <pivotField showAll="0"/>
    <pivotField dataField="1" showAll="0"/>
    <pivotField showAll="0"/>
    <pivotField numFmtId="14"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Середнє з Вік на момент прийому на роботу" fld="4" subtotal="average" baseField="1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8BD173-E88C-492A-9CBC-727588285FDD}" name="Зведена таблиця14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E28:E29" firstHeaderRow="1" firstDataRow="1" firstDataCol="0"/>
  <pivotFields count="14">
    <pivotField showAll="0"/>
    <pivotField showAll="0"/>
    <pivotField numFmtId="14"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Кількість з Причина звільнення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5473A3-4B8D-436C-8808-8854333B1695}" name="Зведена таблиця11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D3:G12" firstHeaderRow="0" firstDataRow="1" firstDataCol="1"/>
  <pivotFields count="14">
    <pivotField showAll="0"/>
    <pivotField showAll="0"/>
    <pivotField numFmtId="14" showAll="0"/>
    <pivotField showAll="0"/>
    <pivotField showAll="0"/>
    <pivotField showAll="0"/>
    <pivotField dataField="1" numFmtId="14" showAll="0"/>
    <pivotField dataField="1"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ількість з Дата прийому на роботу" fld="6" subtotal="count" baseField="0" baseItem="0"/>
    <dataField name="Кількість з Дата звільнення" fld="7" subtotal="count" baseField="0" baseItem="0"/>
    <dataField name="Сума з Працює в даний момент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63088-65D4-4314-8E4C-2C6F14E82F7E}" name="Зведена таблиця13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28:A29" firstHeaderRow="1" firstDataRow="1" firstDataCol="0"/>
  <pivotFields count="14">
    <pivotField showAll="0"/>
    <pivotField showAll="0"/>
    <pivotField numFmtId="14"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</pivotFields>
  <rowItems count="1">
    <i/>
  </rowItems>
  <colItems count="1">
    <i/>
  </colItems>
  <dataFields count="1">
    <dataField name="Середнє з Вік на момент прийому на роботу" fld="4" subtotal="average" baseField="1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5E5F4-D7B8-43DF-88EF-FECD8F224D26}" name="Зведена таблиця12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15:D25" firstHeaderRow="1" firstDataRow="2" firstDataCol="1"/>
  <pivotFields count="14"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showAll="0"/>
    <pivotField dataField="1" showAll="0"/>
    <pivotField numFmtId="14"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Кількість з Пенсійний вік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4CE0D-3F6C-481B-8006-3F7D1A3FDC0A}" name="Зведена таблиця2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5">
  <location ref="A41:E43" firstHeaderRow="1" firstDataRow="2" firstDataCol="1"/>
  <pivotFields count="14"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dataField="1"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Items count="1">
    <i/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Кількість з Стаж" fld="8" subtotal="count" baseField="3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09631-510F-4455-8C37-04D81F58A1B6}" name="Зведена таблиця1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0">
  <location ref="A35:E39" firstHeaderRow="1" firstDataRow="2" firstDataCol="1"/>
  <pivotFields count="14"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dataField="1"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Кількість з Стаж" fld="8" subtotal="count" baseField="3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Відділ" xr10:uid="{DBCA84DE-691A-4BA1-A7BF-CB4899C352EF}" sourceName="Відділ">
  <pivotTables>
    <pivotTable tabId="18" name="Зведена таблиця14"/>
    <pivotTable tabId="18" name="Зведена таблиця13"/>
    <pivotTable tabId="18" name="Зведена таблиця15"/>
    <pivotTable tabId="18" name="Зведена таблиця16"/>
    <pivotTable tabId="18" name="Зведена таблиця1"/>
    <pivotTable tabId="18" name="Зведена таблиця2"/>
  </pivotTables>
  <data>
    <tabular pivotCacheId="100883490">
      <items count="8">
        <i x="0" s="1"/>
        <i x="1" s="1"/>
        <i x="2" s="1"/>
        <i x="3" s="1"/>
        <i x="4" s="1"/>
        <i x="5" s="1"/>
        <i x="6" s="1"/>
        <i x="7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Діапазон_стажу" xr10:uid="{6E555445-0B9C-4729-B938-7079849FA8B8}" sourceName="Діапазон стажу">
  <pivotTables>
    <pivotTable tabId="18" name="Зведена таблиця14"/>
    <pivotTable tabId="18" name="Зведена таблиця13"/>
    <pivotTable tabId="18" name="Зведена таблиця15"/>
    <pivotTable tabId="18" name="Зведена таблиця16"/>
    <pivotTable tabId="18" name="Зведена таблиця1"/>
    <pivotTable tabId="18" name="Зведена таблиця2"/>
  </pivotTables>
  <data>
    <tabular pivotCacheId="100883490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Відділ" xr10:uid="{BD319C04-5E89-44D8-A576-41D9DF8D9CAD}" cache="Роздільник_Відділ" caption="Відділ" style="SlicerStyleDark6" rowHeight="180000"/>
  <slicer name="Діапазон стажу" xr10:uid="{08D23A8D-016A-487A-BC86-02C5AE06943D}" cache="Роздільник_Діапазон_стажу" caption="Діапазон стажу" style="SlicerStyleDark6" rowHeight="18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58C5A9-ADFD-4B02-A9A6-12F5DDA2C5A1}" name="Таблиця3" displayName="Таблиця3" ref="B18:O118" totalsRowShown="0" tableBorderDxfId="14">
  <autoFilter ref="B18:O118" xr:uid="{FD58C5A9-ADFD-4B02-A9A6-12F5DDA2C5A1}"/>
  <tableColumns count="14">
    <tableColumn id="1" xr3:uid="{6C9E8312-D9E6-4B30-97F2-FEAE50B4C063}" name="№" dataDxfId="13"/>
    <tableColumn id="2" xr3:uid="{D5643FB3-1330-4BDD-90CC-F54E1D88E14F}" name="ПІБ" dataDxfId="12"/>
    <tableColumn id="3" xr3:uid="{E422810B-34FD-4F28-9B2B-4788286F3DC6}" name="Дата народження" dataDxfId="11"/>
    <tableColumn id="4" xr3:uid="{A3F5ECBB-A32B-4314-BB14-E0BC82722FB6}" name="Стать" dataDxfId="10"/>
    <tableColumn id="5" xr3:uid="{398787CF-6D7A-49C1-9EED-2491421BBFC2}" name="Вік на момент прийому на роботу" dataDxfId="9"/>
    <tableColumn id="6" xr3:uid="{71A2A6F7-BC2D-4200-BAA9-8BD4D2580F67}" name="Пенсійний вік" dataDxfId="8"/>
    <tableColumn id="7" xr3:uid="{23AFFC1D-CD97-45DA-B623-51722429F706}" name="Дата прийому на роботу" dataDxfId="7"/>
    <tableColumn id="8" xr3:uid="{DBBE9195-7198-4068-98A7-7D5CF5F6B5F5}" name="Дата звільнення" dataDxfId="6"/>
    <tableColumn id="9" xr3:uid="{A38F42AD-BF4D-4A71-A2C5-0A0ED5CAA884}" name="Стаж" dataDxfId="5"/>
    <tableColumn id="10" xr3:uid="{E49025A0-497F-4778-8895-469B76E096D9}" name="Причина звільнення" dataDxfId="4"/>
    <tableColumn id="11" xr3:uid="{738D77BD-911A-405F-B7CC-29DE952648A6}" name="Відділ" dataDxfId="3"/>
    <tableColumn id="12" xr3:uid="{CC88435D-0767-44B9-8C08-83E61E38E755}" name="Вік звільнених" dataDxfId="2"/>
    <tableColumn id="13" xr3:uid="{B4A36B10-FF75-492D-BEAA-5A782BAAC9A0}" name="Працює в даний момент" dataDxfId="1"/>
    <tableColumn id="14" xr3:uid="{EA4F39BC-E2DB-445F-BC24-16C5C7B96A79}" name="Діапазон стаж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opLeftCell="F1" zoomScale="110" zoomScaleNormal="110" workbookViewId="0">
      <selection activeCell="N18" sqref="N18"/>
    </sheetView>
  </sheetViews>
  <sheetFormatPr defaultColWidth="12.6640625" defaultRowHeight="15" customHeight="1"/>
  <cols>
    <col min="1" max="1" width="4.21875" customWidth="1"/>
    <col min="2" max="2" width="4.77734375" customWidth="1"/>
    <col min="3" max="3" width="17" customWidth="1"/>
    <col min="4" max="4" width="13" customWidth="1"/>
    <col min="5" max="5" width="15.77734375" customWidth="1"/>
    <col min="6" max="6" width="18.33203125" customWidth="1"/>
    <col min="7" max="7" width="11.5546875" customWidth="1"/>
    <col min="8" max="8" width="16" customWidth="1"/>
    <col min="9" max="9" width="10.109375" customWidth="1"/>
    <col min="10" max="10" width="20" customWidth="1"/>
    <col min="11" max="12" width="12.44140625" customWidth="1"/>
    <col min="13" max="13" width="31.109375" customWidth="1"/>
    <col min="14" max="14" width="29.21875" customWidth="1"/>
    <col min="15" max="15" width="22.21875" customWidth="1"/>
    <col min="16" max="16" width="7.6640625" customWidth="1"/>
    <col min="17" max="17" width="9.77734375" customWidth="1"/>
    <col min="18" max="18" width="34.88671875" customWidth="1"/>
    <col min="19" max="19" width="7.6640625" customWidth="1"/>
    <col min="20" max="20" width="12" customWidth="1"/>
    <col min="21" max="26" width="7.6640625" customWidth="1"/>
  </cols>
  <sheetData>
    <row r="1" spans="1:19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4.25" customHeight="1">
      <c r="A2" s="1"/>
      <c r="B2" s="85" t="s">
        <v>0</v>
      </c>
      <c r="C2" s="79"/>
      <c r="D2" s="79"/>
      <c r="E2" s="79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4.25" customHeight="1">
      <c r="A3" s="1"/>
      <c r="B3" s="83" t="s">
        <v>1</v>
      </c>
      <c r="C3" s="79"/>
      <c r="D3" s="79"/>
      <c r="E3" s="79"/>
      <c r="F3" s="79"/>
      <c r="G3" s="79"/>
      <c r="H3" s="79"/>
      <c r="I3" s="79"/>
      <c r="J3" s="79"/>
      <c r="K3" s="3" t="s">
        <v>2</v>
      </c>
      <c r="L3" s="4"/>
      <c r="M3" s="1"/>
      <c r="N3" s="1"/>
      <c r="O3" s="1"/>
      <c r="P3" s="1"/>
      <c r="Q3" s="1"/>
      <c r="R3" s="1"/>
      <c r="S3" s="1"/>
    </row>
    <row r="4" spans="1:19" ht="14.25" customHeight="1">
      <c r="A4" s="1"/>
      <c r="B4" s="83" t="s">
        <v>3</v>
      </c>
      <c r="C4" s="79"/>
      <c r="D4" s="79"/>
      <c r="E4" s="79"/>
      <c r="F4" s="5"/>
      <c r="G4" s="5"/>
      <c r="H4" s="5"/>
      <c r="I4" s="5"/>
      <c r="J4" s="6" t="s">
        <v>4</v>
      </c>
      <c r="K4" s="86" t="s">
        <v>5</v>
      </c>
      <c r="L4" s="81"/>
      <c r="M4" s="81"/>
      <c r="N4" s="82"/>
      <c r="O4" s="7" t="s">
        <v>6</v>
      </c>
      <c r="P4" s="1"/>
      <c r="Q4" s="1"/>
      <c r="R4" s="1"/>
      <c r="S4" s="1"/>
    </row>
    <row r="5" spans="1:19" ht="14.25" customHeight="1">
      <c r="A5" s="1"/>
      <c r="B5" s="83" t="s">
        <v>7</v>
      </c>
      <c r="C5" s="79"/>
      <c r="D5" s="79"/>
      <c r="E5" s="79"/>
      <c r="F5" s="79"/>
      <c r="G5" s="79"/>
      <c r="H5" s="79"/>
      <c r="I5" s="5"/>
      <c r="J5" s="8">
        <v>1</v>
      </c>
      <c r="K5" s="80" t="s">
        <v>8</v>
      </c>
      <c r="L5" s="81"/>
      <c r="M5" s="81"/>
      <c r="N5" s="82"/>
      <c r="O5" s="9">
        <f>COUNTBLANK(K18:K117)</f>
        <v>39</v>
      </c>
      <c r="P5" s="1"/>
      <c r="Q5" s="1"/>
      <c r="R5" s="1"/>
      <c r="S5" s="1"/>
    </row>
    <row r="6" spans="1:19" ht="14.25" customHeight="1">
      <c r="A6" s="1"/>
      <c r="B6" s="87" t="s">
        <v>9</v>
      </c>
      <c r="C6" s="79"/>
      <c r="D6" s="79"/>
      <c r="E6" s="79"/>
      <c r="F6" s="79"/>
      <c r="G6" s="79"/>
      <c r="H6" s="79"/>
      <c r="I6" s="5"/>
      <c r="J6" s="8">
        <v>2</v>
      </c>
      <c r="K6" s="80" t="s">
        <v>10</v>
      </c>
      <c r="L6" s="81"/>
      <c r="M6" s="81"/>
      <c r="N6" s="82"/>
      <c r="O6" s="9">
        <f>COUNT(K18:K117)</f>
        <v>61</v>
      </c>
      <c r="P6" s="1"/>
      <c r="Q6" s="1"/>
      <c r="R6" s="1"/>
      <c r="S6" s="1"/>
    </row>
    <row r="7" spans="1:19" ht="14.25" customHeight="1">
      <c r="A7" s="1"/>
      <c r="B7" s="79"/>
      <c r="C7" s="79"/>
      <c r="D7" s="79"/>
      <c r="E7" s="79"/>
      <c r="F7" s="79"/>
      <c r="G7" s="79"/>
      <c r="H7" s="79"/>
      <c r="I7" s="5"/>
      <c r="J7" s="8">
        <v>3</v>
      </c>
      <c r="K7" s="80" t="s">
        <v>11</v>
      </c>
      <c r="L7" s="81"/>
      <c r="M7" s="81"/>
      <c r="N7" s="82"/>
      <c r="O7" s="9">
        <f>COUNTIF(K18:K117,"&lt;39814")</f>
        <v>3</v>
      </c>
      <c r="P7" s="1"/>
      <c r="Q7" s="1"/>
      <c r="R7" s="1"/>
      <c r="S7" s="1"/>
    </row>
    <row r="8" spans="1:19" ht="14.25" customHeight="1">
      <c r="A8" s="1"/>
      <c r="B8" s="78" t="s">
        <v>12</v>
      </c>
      <c r="C8" s="79"/>
      <c r="D8" s="79"/>
      <c r="E8" s="79"/>
      <c r="F8" s="79"/>
      <c r="G8" s="79"/>
      <c r="H8" s="79"/>
      <c r="I8" s="79"/>
      <c r="J8" s="8">
        <v>4</v>
      </c>
      <c r="K8" s="80" t="s">
        <v>13</v>
      </c>
      <c r="L8" s="81"/>
      <c r="M8" s="81"/>
      <c r="N8" s="82"/>
      <c r="O8" s="22" cm="1">
        <f t="array" ref="O8">AVERAGE(IF(K18:K117&lt;&gt;"",DATEDIF(F18:F117,K18:K117,"Y"),""))</f>
        <v>44.704918032786885</v>
      </c>
      <c r="P8" s="1"/>
      <c r="Q8" s="1"/>
      <c r="R8" s="1"/>
      <c r="S8" s="1"/>
    </row>
    <row r="9" spans="1:19" ht="14.25" customHeight="1">
      <c r="A9" s="1"/>
      <c r="B9" s="83" t="s">
        <v>14</v>
      </c>
      <c r="C9" s="79"/>
      <c r="D9" s="79"/>
      <c r="E9" s="79"/>
      <c r="F9" s="5"/>
      <c r="G9" s="5"/>
      <c r="H9" s="5"/>
      <c r="I9" s="5"/>
      <c r="J9" s="8">
        <v>5</v>
      </c>
      <c r="K9" s="80" t="s">
        <v>15</v>
      </c>
      <c r="L9" s="81"/>
      <c r="M9" s="81"/>
      <c r="N9" s="82"/>
      <c r="O9" s="9" t="str">
        <f>IF(COUNTIFS(K18:K117,"&gt;0",G18:G117,"чоловіча")&gt;COUNTIFS(K18:K117,"&gt;0",G18:G117,";жіноча"),"чоловічої",
   IF(COUNTIFS(K18:K117,"&gt;0",G18:G117,"чоловіча")&lt;COUNTIFS(K18:K117,"&gt;0",G18:G117,"жіноча"),"жіночої","одинаково"))</f>
        <v>чоловічої</v>
      </c>
      <c r="P9" s="1"/>
      <c r="Q9" s="1"/>
      <c r="R9" s="1"/>
      <c r="S9" s="1"/>
    </row>
    <row r="10" spans="1:19" ht="14.25" customHeight="1">
      <c r="A10" s="1"/>
      <c r="B10" s="83" t="s">
        <v>16</v>
      </c>
      <c r="C10" s="79"/>
      <c r="D10" s="79"/>
      <c r="E10" s="79"/>
      <c r="F10" s="79"/>
      <c r="G10" s="79"/>
      <c r="H10" s="79"/>
      <c r="I10" s="79"/>
      <c r="J10" s="8">
        <v>6</v>
      </c>
      <c r="K10" s="84" t="s">
        <v>17</v>
      </c>
      <c r="L10" s="81"/>
      <c r="M10" s="81"/>
      <c r="N10" s="82"/>
      <c r="O10" s="10">
        <f>COUNTIF(C18:C117,"Р*")</f>
        <v>4</v>
      </c>
      <c r="P10" s="1"/>
      <c r="Q10" s="1"/>
      <c r="R10" s="1"/>
      <c r="S10" s="1"/>
    </row>
    <row r="11" spans="1:19" ht="13.8" customHeight="1">
      <c r="A11" s="1"/>
      <c r="B11" s="83" t="s">
        <v>18</v>
      </c>
      <c r="C11" s="79"/>
      <c r="D11" s="79"/>
      <c r="E11" s="79"/>
      <c r="F11" s="79"/>
      <c r="G11" s="5"/>
      <c r="H11" s="5"/>
      <c r="I11" s="5"/>
      <c r="J11" s="8">
        <v>7</v>
      </c>
      <c r="K11" s="84" t="s">
        <v>19</v>
      </c>
      <c r="L11" s="81"/>
      <c r="M11" s="81"/>
      <c r="N11" s="82"/>
      <c r="O11" s="11">
        <f>COUNTA(_xlfn.UNIQUE(M18:M117))-1</f>
        <v>6</v>
      </c>
      <c r="P11" s="1"/>
      <c r="Q11" s="1"/>
      <c r="R11" s="1"/>
      <c r="S11" s="1"/>
    </row>
    <row r="12" spans="1:19" ht="19.2" customHeight="1">
      <c r="A12" s="1"/>
      <c r="B12" s="2"/>
      <c r="C12" s="1"/>
      <c r="D12" s="1"/>
      <c r="E12" s="1"/>
      <c r="F12" s="5"/>
      <c r="G12" s="5"/>
      <c r="H12" s="5"/>
      <c r="I12" s="5"/>
      <c r="J12" s="8">
        <v>8</v>
      </c>
      <c r="K12" s="80" t="s">
        <v>20</v>
      </c>
      <c r="L12" s="81"/>
      <c r="M12" s="81"/>
      <c r="N12" s="82"/>
      <c r="O12" s="7" t="str" cm="1">
        <f t="array" ref="O12">INDEX($R$18:$R$23,MATCH(MAX(COUNTIF(M18:M117,$R$18:$R$23)),COUNTIF(M18:M117,$R$18:$R$23),0))</f>
        <v>за власним бажанням</v>
      </c>
      <c r="P12" s="1"/>
      <c r="Q12" s="1"/>
      <c r="R12" s="1"/>
      <c r="S12" s="1"/>
    </row>
    <row r="13" spans="1:19" ht="14.25" customHeight="1">
      <c r="A13" s="1"/>
      <c r="B13" s="2"/>
      <c r="C13" s="1"/>
      <c r="D13" s="1"/>
      <c r="E13" s="1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</row>
    <row r="14" spans="1:19" ht="14.25" customHeight="1">
      <c r="A14" s="1"/>
      <c r="B14" s="2"/>
      <c r="C14" s="98" t="s">
        <v>21</v>
      </c>
      <c r="D14" s="79"/>
      <c r="E14" s="79"/>
      <c r="F14" s="12">
        <v>44927</v>
      </c>
      <c r="G14" s="5"/>
      <c r="H14" s="2"/>
      <c r="I14" s="2"/>
      <c r="J14" s="5"/>
      <c r="K14" s="5"/>
      <c r="L14" s="5"/>
      <c r="M14" s="1"/>
      <c r="N14" s="1"/>
      <c r="O14" s="1"/>
      <c r="P14" s="1"/>
      <c r="Q14" s="1"/>
      <c r="R14" s="1"/>
      <c r="S14" s="1"/>
    </row>
    <row r="15" spans="1:19" ht="14.25" customHeight="1">
      <c r="A15" s="1"/>
      <c r="B15" s="13"/>
      <c r="C15" s="4"/>
      <c r="D15" s="4"/>
      <c r="E15" s="4"/>
      <c r="F15" s="13"/>
      <c r="G15" s="13"/>
      <c r="H15" s="13"/>
      <c r="I15" s="13"/>
      <c r="J15" s="13"/>
      <c r="K15" s="13"/>
      <c r="L15" s="13"/>
      <c r="M15" s="4"/>
      <c r="N15" s="4"/>
      <c r="O15" s="4"/>
      <c r="P15" s="1"/>
      <c r="Q15" s="1"/>
      <c r="R15" s="1"/>
      <c r="S15" s="1"/>
    </row>
    <row r="16" spans="1:19" ht="14.25" customHeight="1">
      <c r="A16" s="1"/>
      <c r="B16" s="90" t="s">
        <v>4</v>
      </c>
      <c r="C16" s="92" t="s">
        <v>22</v>
      </c>
      <c r="D16" s="86"/>
      <c r="E16" s="93"/>
      <c r="F16" s="90" t="s">
        <v>23</v>
      </c>
      <c r="G16" s="90" t="s">
        <v>24</v>
      </c>
      <c r="H16" s="94" t="s">
        <v>25</v>
      </c>
      <c r="I16" s="94" t="s">
        <v>26</v>
      </c>
      <c r="J16" s="94" t="s">
        <v>27</v>
      </c>
      <c r="K16" s="94" t="s">
        <v>28</v>
      </c>
      <c r="L16" s="90" t="s">
        <v>29</v>
      </c>
      <c r="M16" s="96" t="s">
        <v>30</v>
      </c>
      <c r="N16" s="88" t="s">
        <v>146</v>
      </c>
      <c r="O16" s="1" t="s">
        <v>486</v>
      </c>
      <c r="P16" s="1" t="s">
        <v>485</v>
      </c>
      <c r="Q16" s="1"/>
      <c r="R16" s="1"/>
      <c r="S16" s="1"/>
    </row>
    <row r="17" spans="1:20" ht="27.75" customHeight="1">
      <c r="A17" s="1"/>
      <c r="B17" s="91"/>
      <c r="C17" s="9" t="s">
        <v>31</v>
      </c>
      <c r="D17" s="9" t="s">
        <v>32</v>
      </c>
      <c r="E17" s="25" t="s">
        <v>33</v>
      </c>
      <c r="F17" s="91"/>
      <c r="G17" s="91"/>
      <c r="H17" s="95"/>
      <c r="I17" s="95"/>
      <c r="J17" s="95"/>
      <c r="K17" s="95"/>
      <c r="L17" s="91"/>
      <c r="M17" s="97"/>
      <c r="N17" s="89"/>
      <c r="O17" s="26"/>
      <c r="P17" s="1">
        <f>AVERAGE(O18:O117)</f>
        <v>44.704918032786885</v>
      </c>
      <c r="Q17" s="1" t="s">
        <v>485</v>
      </c>
      <c r="R17" s="24" t="s">
        <v>360</v>
      </c>
      <c r="S17" s="1"/>
    </row>
    <row r="18" spans="1:20" ht="14.25" customHeight="1">
      <c r="A18" s="1"/>
      <c r="B18" s="8">
        <v>99</v>
      </c>
      <c r="C18" s="14" t="s">
        <v>357</v>
      </c>
      <c r="D18" s="14" t="s">
        <v>358</v>
      </c>
      <c r="E18" s="14" t="s">
        <v>196</v>
      </c>
      <c r="F18" s="15">
        <v>23575</v>
      </c>
      <c r="G18" s="9" t="str">
        <f t="shared" ref="G18:G25" si="0">IF(RIGHT(E18,1)="ч","чоловіча","жіноча")</f>
        <v>чоловіча</v>
      </c>
      <c r="H18" s="9">
        <f t="shared" ref="H18:H25" si="1">ROUNDDOWN((J18-F18)/365.25,0)</f>
        <v>42</v>
      </c>
      <c r="I18" s="9" t="str">
        <f t="shared" ref="I18:I25" si="2">IF(H18&gt;=60,"так","ні")</f>
        <v>ні</v>
      </c>
      <c r="J18" s="15">
        <v>39161</v>
      </c>
      <c r="K18" s="15"/>
      <c r="L18" s="9" t="str">
        <f>IFERROR(IF(DATEDIF(J18,K18,"Y")=0,DATEDIF(J18,K18,"M")&amp;"м."&amp;DATEDIF(J18,K18,"MD")&amp;"д.",
   DATEDIF(J18,K18,"Y")&amp;"р."&amp;DATEDIF(J18,K18,"YM")&amp;"м."&amp;DATEDIF(J18,K18,"MD")&amp;"д."),
   IF(DATEDIF(J18,$F$14,"Y")=0,DATEDIF(J18,$F$14,"M")&amp;"м."&amp;DATEDIF(J18,$F$14,"MD")&amp;"д.",
   DATEDIF(J18,$F$14,"Y")&amp;"р."&amp;DATEDIF(J18,$F$14,"YM")&amp;"м."&amp;DATEDIF(J18,$F$14,"MD")&amp;"д."))</f>
        <v>15р.9м.12д.</v>
      </c>
      <c r="M18" s="20"/>
      <c r="N18" s="21" t="str">
        <f>VLOOKUP(_xlfn.CONCAT(C18," ",D18," ",E18),Відділи!$B$2:$C$101,2,0)</f>
        <v>Бухгалтерія</v>
      </c>
      <c r="O18" s="4" t="str">
        <f t="shared" ref="O18:O49" si="3">IFERROR(DATEDIF(F18,K18,"Y"),"")</f>
        <v/>
      </c>
      <c r="P18" s="1"/>
      <c r="Q18" s="1" cm="1">
        <f t="array" ref="Q18:Q23">COUNTIF(M18:M117,$R$18:$R$23)</f>
        <v>25</v>
      </c>
      <c r="R18" s="24" t="s">
        <v>43</v>
      </c>
      <c r="S18" s="1"/>
    </row>
    <row r="19" spans="1:20" ht="14.25" customHeight="1">
      <c r="A19" s="1"/>
      <c r="B19" s="8">
        <v>48</v>
      </c>
      <c r="C19" s="14" t="s">
        <v>266</v>
      </c>
      <c r="D19" s="14" t="s">
        <v>267</v>
      </c>
      <c r="E19" s="14" t="s">
        <v>263</v>
      </c>
      <c r="F19" s="15">
        <v>28873</v>
      </c>
      <c r="G19" s="9" t="str">
        <f t="shared" si="0"/>
        <v>жіноча</v>
      </c>
      <c r="H19" s="9">
        <f t="shared" si="1"/>
        <v>34</v>
      </c>
      <c r="I19" s="9" t="str">
        <f t="shared" si="2"/>
        <v>ні</v>
      </c>
      <c r="J19" s="15">
        <v>41402</v>
      </c>
      <c r="K19" s="15"/>
      <c r="L19" s="9" t="str">
        <f t="shared" ref="L19:L25" si="4">IFERROR(IF(DATEDIF(J19,K19,"Y")=0,DATEDIF(J19,K19,"M")&amp;"м."&amp;DATEDIF(J19,K19,"MD")&amp;"д.",
   DATEDIF(J19,K19,"Y")&amp;"р."&amp;DATEDIF(J19,K19,"YM")&amp;"м."&amp;DATEDIF(J19,K19,"MD")&amp;"д."),
   IF(DATEDIF(J19,$F$14,"Y")=0,DATEDIF(J19,$F$14,"M")&amp;"м."&amp;DATEDIF(J19,$F$14,"MD")&amp;"д.",
   DATEDIF(J19,$F$14,"Y")&amp;"р."&amp;DATEDIF(J19,$F$14,"YM")&amp;"м."&amp;DATEDIF(J19,$F$14,"MD")&amp;"д."))</f>
        <v>9р.7м.24д.</v>
      </c>
      <c r="M19" s="20"/>
      <c r="N19" s="21" t="str">
        <f>VLOOKUP(_xlfn.CONCAT(C19," ",D19," ",E19),Відділи!$B$2:$C$101,2,0)</f>
        <v>Бухгалтерія</v>
      </c>
      <c r="O19" s="4" t="str">
        <f t="shared" si="3"/>
        <v/>
      </c>
      <c r="P19" s="1"/>
      <c r="Q19" s="1">
        <v>2</v>
      </c>
      <c r="R19" s="24" t="s">
        <v>80</v>
      </c>
      <c r="S19" s="1"/>
      <c r="T19" s="26" t="s">
        <v>484</v>
      </c>
    </row>
    <row r="20" spans="1:20" ht="14.25" customHeight="1">
      <c r="A20" s="1"/>
      <c r="B20" s="8">
        <v>13</v>
      </c>
      <c r="C20" s="14" t="s">
        <v>187</v>
      </c>
      <c r="D20" s="14" t="s">
        <v>188</v>
      </c>
      <c r="E20" s="14" t="s">
        <v>161</v>
      </c>
      <c r="F20" s="15">
        <v>22028</v>
      </c>
      <c r="G20" s="9" t="str">
        <f t="shared" si="0"/>
        <v>жіноча</v>
      </c>
      <c r="H20" s="9">
        <f t="shared" si="1"/>
        <v>54</v>
      </c>
      <c r="I20" s="9" t="str">
        <f t="shared" si="2"/>
        <v>ні</v>
      </c>
      <c r="J20" s="15">
        <v>41977</v>
      </c>
      <c r="K20" s="15"/>
      <c r="L20" s="9" t="str">
        <f t="shared" si="4"/>
        <v>8р.0м.28д.</v>
      </c>
      <c r="M20" s="20"/>
      <c r="N20" s="21" t="str">
        <f>VLOOKUP(_xlfn.CONCAT(C20," ",D20," ",E20),Відділи!$B$2:$C$101,2,0)</f>
        <v>Бухгалтерія</v>
      </c>
      <c r="O20" s="4" t="str">
        <f t="shared" si="3"/>
        <v/>
      </c>
      <c r="P20" s="1"/>
      <c r="Q20" s="1">
        <v>13</v>
      </c>
      <c r="R20" s="24" t="s">
        <v>41</v>
      </c>
      <c r="S20" s="1"/>
      <c r="T20" s="23">
        <v>39814</v>
      </c>
    </row>
    <row r="21" spans="1:20" ht="14.25" customHeight="1">
      <c r="A21" s="1"/>
      <c r="B21" s="8">
        <v>9</v>
      </c>
      <c r="C21" s="14" t="s">
        <v>176</v>
      </c>
      <c r="D21" s="14" t="s">
        <v>169</v>
      </c>
      <c r="E21" s="14" t="s">
        <v>177</v>
      </c>
      <c r="F21" s="15">
        <v>24302</v>
      </c>
      <c r="G21" s="9" t="str">
        <f t="shared" si="0"/>
        <v>чоловіча</v>
      </c>
      <c r="H21" s="9">
        <f t="shared" si="1"/>
        <v>46</v>
      </c>
      <c r="I21" s="9" t="str">
        <f t="shared" si="2"/>
        <v>ні</v>
      </c>
      <c r="J21" s="15">
        <v>41434</v>
      </c>
      <c r="K21" s="15"/>
      <c r="L21" s="9" t="str">
        <f t="shared" si="4"/>
        <v>9р.6м.23д.</v>
      </c>
      <c r="M21" s="20"/>
      <c r="N21" s="21" t="str">
        <f>VLOOKUP(_xlfn.CONCAT(C21," ",D21," ",E21),Відділи!$B$2:$C$101,2,0)</f>
        <v>Бухгалтерія</v>
      </c>
      <c r="O21" s="4" t="str">
        <f t="shared" si="3"/>
        <v/>
      </c>
      <c r="P21" s="1"/>
      <c r="Q21" s="1">
        <v>4</v>
      </c>
      <c r="R21" s="24" t="s">
        <v>60</v>
      </c>
      <c r="S21" s="1"/>
    </row>
    <row r="22" spans="1:20" ht="14.25" customHeight="1">
      <c r="A22" s="1"/>
      <c r="B22" s="8">
        <v>62</v>
      </c>
      <c r="C22" s="14" t="s">
        <v>294</v>
      </c>
      <c r="D22" s="14" t="s">
        <v>295</v>
      </c>
      <c r="E22" s="14" t="s">
        <v>183</v>
      </c>
      <c r="F22" s="15">
        <v>17062</v>
      </c>
      <c r="G22" s="9" t="str">
        <f t="shared" si="0"/>
        <v>чоловіча</v>
      </c>
      <c r="H22" s="9">
        <f t="shared" si="1"/>
        <v>63</v>
      </c>
      <c r="I22" s="9" t="str">
        <f t="shared" si="2"/>
        <v>так</v>
      </c>
      <c r="J22" s="15">
        <v>40409</v>
      </c>
      <c r="K22" s="15"/>
      <c r="L22" s="9" t="str">
        <f t="shared" si="4"/>
        <v>12р.4м.13д.</v>
      </c>
      <c r="M22" s="20"/>
      <c r="N22" s="21" t="str">
        <f>VLOOKUP(_xlfn.CONCAT(C22," ",D22," ",E22),Відділи!$B$2:$C$101,2,0)</f>
        <v>Бухгалтерія</v>
      </c>
      <c r="O22" s="4" t="str">
        <f t="shared" si="3"/>
        <v/>
      </c>
      <c r="P22" s="1"/>
      <c r="Q22" s="1">
        <v>12</v>
      </c>
      <c r="R22" s="24" t="s">
        <v>49</v>
      </c>
      <c r="S22" s="1"/>
    </row>
    <row r="23" spans="1:20" ht="14.25" customHeight="1">
      <c r="A23" s="1"/>
      <c r="B23" s="8">
        <v>46</v>
      </c>
      <c r="C23" s="14" t="s">
        <v>262</v>
      </c>
      <c r="D23" s="14" t="s">
        <v>230</v>
      </c>
      <c r="E23" s="14" t="s">
        <v>263</v>
      </c>
      <c r="F23" s="15">
        <v>23927</v>
      </c>
      <c r="G23" s="9" t="str">
        <f t="shared" si="0"/>
        <v>жіноча</v>
      </c>
      <c r="H23" s="9">
        <f t="shared" si="1"/>
        <v>44</v>
      </c>
      <c r="I23" s="9" t="str">
        <f t="shared" si="2"/>
        <v>ні</v>
      </c>
      <c r="J23" s="15">
        <v>40122</v>
      </c>
      <c r="K23" s="15"/>
      <c r="L23" s="9" t="str">
        <f t="shared" si="4"/>
        <v>13р.1м.27д.</v>
      </c>
      <c r="M23" s="20"/>
      <c r="N23" s="21" t="str">
        <f>VLOOKUP(_xlfn.CONCAT(C23," ",D23," ",E23),Відділи!$B$2:$C$101,2,0)</f>
        <v>Бухгалтерія</v>
      </c>
      <c r="O23" s="4" t="str">
        <f t="shared" si="3"/>
        <v/>
      </c>
      <c r="P23" s="1"/>
      <c r="Q23" s="1">
        <v>5</v>
      </c>
      <c r="R23" s="24" t="s">
        <v>64</v>
      </c>
      <c r="S23" s="1"/>
    </row>
    <row r="24" spans="1:20" ht="14.25" customHeight="1">
      <c r="A24" s="1"/>
      <c r="B24" s="8">
        <v>77</v>
      </c>
      <c r="C24" s="14" t="s">
        <v>318</v>
      </c>
      <c r="D24" s="14" t="s">
        <v>319</v>
      </c>
      <c r="E24" s="14" t="s">
        <v>320</v>
      </c>
      <c r="F24" s="15">
        <v>33375</v>
      </c>
      <c r="G24" s="9" t="str">
        <f t="shared" si="0"/>
        <v>чоловіча</v>
      </c>
      <c r="H24" s="9">
        <f t="shared" si="1"/>
        <v>21</v>
      </c>
      <c r="I24" s="9" t="str">
        <f t="shared" si="2"/>
        <v>ні</v>
      </c>
      <c r="J24" s="15">
        <v>41178</v>
      </c>
      <c r="K24" s="15">
        <v>43312</v>
      </c>
      <c r="L24" s="9" t="str">
        <f t="shared" si="4"/>
        <v>5р.10м.5д.</v>
      </c>
      <c r="M24" s="20" t="s">
        <v>43</v>
      </c>
      <c r="N24" s="21" t="str">
        <f>VLOOKUP(_xlfn.CONCAT(C24," ",D24," ",E24),Відділи!$B$2:$C$101,2,0)</f>
        <v>Бухгалтерія</v>
      </c>
      <c r="O24" s="4">
        <f t="shared" si="3"/>
        <v>27</v>
      </c>
      <c r="P24" s="1"/>
      <c r="Q24" s="1"/>
      <c r="R24" s="1"/>
      <c r="S24" s="1"/>
    </row>
    <row r="25" spans="1:20" ht="14.25" customHeight="1">
      <c r="A25" s="1"/>
      <c r="B25" s="8">
        <v>84</v>
      </c>
      <c r="C25" s="14" t="s">
        <v>333</v>
      </c>
      <c r="D25" s="14" t="s">
        <v>222</v>
      </c>
      <c r="E25" s="14" t="s">
        <v>334</v>
      </c>
      <c r="F25" s="15">
        <v>29020</v>
      </c>
      <c r="G25" s="9" t="str">
        <f t="shared" si="0"/>
        <v>чоловіча</v>
      </c>
      <c r="H25" s="9">
        <f t="shared" si="1"/>
        <v>32</v>
      </c>
      <c r="I25" s="9" t="str">
        <f t="shared" si="2"/>
        <v>ні</v>
      </c>
      <c r="J25" s="15">
        <v>40825</v>
      </c>
      <c r="K25" s="15">
        <v>42579</v>
      </c>
      <c r="L25" s="9" t="str">
        <f t="shared" si="4"/>
        <v>4р.9м.19д.</v>
      </c>
      <c r="M25" s="20" t="s">
        <v>43</v>
      </c>
      <c r="N25" s="21" t="str">
        <f>VLOOKUP(_xlfn.CONCAT(C25," ",D25," ",E25),Відділи!$B$2:$C$101,2,0)</f>
        <v>Бухгалтерія</v>
      </c>
      <c r="O25" s="4">
        <f t="shared" si="3"/>
        <v>37</v>
      </c>
      <c r="P25" s="1"/>
      <c r="Q25" s="1"/>
      <c r="R25" s="1"/>
      <c r="S25" s="1"/>
    </row>
    <row r="26" spans="1:20" ht="14.25" customHeight="1">
      <c r="A26" s="1"/>
      <c r="B26" s="8">
        <v>1</v>
      </c>
      <c r="C26" s="14" t="s">
        <v>34</v>
      </c>
      <c r="D26" s="14" t="s">
        <v>35</v>
      </c>
      <c r="E26" s="14" t="s">
        <v>36</v>
      </c>
      <c r="F26" s="15">
        <v>21956</v>
      </c>
      <c r="G26" s="9" t="s">
        <v>37</v>
      </c>
      <c r="H26" s="9">
        <v>53</v>
      </c>
      <c r="I26" s="9" t="s">
        <v>38</v>
      </c>
      <c r="J26" s="15">
        <v>41530</v>
      </c>
      <c r="K26" s="15"/>
      <c r="L26" s="9" t="s">
        <v>39</v>
      </c>
      <c r="M26" s="20"/>
      <c r="N26" s="21" t="str">
        <f>VLOOKUP(_xlfn.CONCAT(C26," ",D26," ",E26),Відділи!$B$2:$C$101,2,0)</f>
        <v>Бухгалтерія</v>
      </c>
      <c r="O26" s="4" t="str">
        <f t="shared" si="3"/>
        <v/>
      </c>
      <c r="P26" s="1"/>
      <c r="Q26" s="1"/>
      <c r="R26" s="1"/>
      <c r="S26" s="1"/>
    </row>
    <row r="27" spans="1:20" ht="14.25" customHeight="1">
      <c r="A27" s="1"/>
      <c r="B27" s="8">
        <v>36</v>
      </c>
      <c r="C27" s="14" t="s">
        <v>239</v>
      </c>
      <c r="D27" s="14" t="s">
        <v>240</v>
      </c>
      <c r="E27" s="14" t="s">
        <v>186</v>
      </c>
      <c r="F27" s="15">
        <v>24224</v>
      </c>
      <c r="G27" s="9" t="str">
        <f t="shared" ref="G27:G58" si="5">IF(RIGHT(E27,1)="ч","чоловіча","жіноча")</f>
        <v>жіноча</v>
      </c>
      <c r="H27" s="9">
        <f t="shared" ref="H27:H58" si="6">ROUNDDOWN((J27-F27)/365.25,0)</f>
        <v>45</v>
      </c>
      <c r="I27" s="9" t="str">
        <f t="shared" ref="I27:I58" si="7">IF(H27&gt;=60,"так","ні")</f>
        <v>ні</v>
      </c>
      <c r="J27" s="15">
        <v>40953</v>
      </c>
      <c r="K27" s="15">
        <v>43891</v>
      </c>
      <c r="L27" s="9" t="str">
        <f t="shared" ref="L27:L58" si="8">IFERROR(IF(DATEDIF(J27,K27,"Y")=0,DATEDIF(J27,K27,"M")&amp;"м."&amp;DATEDIF(J27,K27,"MD")&amp;"д.",
   DATEDIF(J27,K27,"Y")&amp;"р."&amp;DATEDIF(J27,K27,"YM")&amp;"м."&amp;DATEDIF(J27,K27,"MD")&amp;"д."),
   IF(DATEDIF(J27,$F$14,"Y")=0,DATEDIF(J27,$F$14,"M")&amp;"м."&amp;DATEDIF(J27,$F$14,"MD")&amp;"д.",
   DATEDIF(J27,$F$14,"Y")&amp;"р."&amp;DATEDIF(J27,$F$14,"YM")&amp;"м."&amp;DATEDIF(J27,$F$14,"MD")&amp;"д."))</f>
        <v>8р.0м.16д.</v>
      </c>
      <c r="M27" s="20" t="s">
        <v>80</v>
      </c>
      <c r="N27" s="21" t="str">
        <f>VLOOKUP(_xlfn.CONCAT(C27," ",D27," ",E27),Відділи!$B$2:$C$101,2,0)</f>
        <v>Бухгалтерія</v>
      </c>
      <c r="O27" s="4">
        <f t="shared" si="3"/>
        <v>53</v>
      </c>
      <c r="P27" s="1"/>
      <c r="Q27" s="1"/>
      <c r="R27" s="1"/>
      <c r="S27" s="1"/>
    </row>
    <row r="28" spans="1:20" ht="14.25" customHeight="1">
      <c r="A28" s="1"/>
      <c r="B28" s="8">
        <v>19</v>
      </c>
      <c r="C28" s="14" t="s">
        <v>203</v>
      </c>
      <c r="D28" s="14" t="s">
        <v>169</v>
      </c>
      <c r="E28" s="14" t="s">
        <v>204</v>
      </c>
      <c r="F28" s="15">
        <v>21196</v>
      </c>
      <c r="G28" s="9" t="str">
        <f t="shared" si="5"/>
        <v>чоловіча</v>
      </c>
      <c r="H28" s="9">
        <f t="shared" si="6"/>
        <v>54</v>
      </c>
      <c r="I28" s="9" t="str">
        <f t="shared" si="7"/>
        <v>ні</v>
      </c>
      <c r="J28" s="15">
        <v>40921</v>
      </c>
      <c r="K28" s="15">
        <v>44494</v>
      </c>
      <c r="L28" s="9" t="str">
        <f t="shared" si="8"/>
        <v>9р.9м.12д.</v>
      </c>
      <c r="M28" s="20" t="s">
        <v>41</v>
      </c>
      <c r="N28" s="21" t="str">
        <f>VLOOKUP(_xlfn.CONCAT(C28," ",D28," ",E28),Відділи!$B$2:$C$101,2,0)</f>
        <v>Бухгалтерія</v>
      </c>
      <c r="O28" s="4">
        <f t="shared" si="3"/>
        <v>63</v>
      </c>
      <c r="P28" s="1"/>
      <c r="Q28" s="1"/>
      <c r="R28" s="1"/>
      <c r="S28" s="1"/>
    </row>
    <row r="29" spans="1:20" ht="14.25" customHeight="1">
      <c r="A29" s="1"/>
      <c r="B29" s="8">
        <v>55</v>
      </c>
      <c r="C29" s="14" t="s">
        <v>283</v>
      </c>
      <c r="D29" s="14" t="s">
        <v>284</v>
      </c>
      <c r="E29" s="14" t="s">
        <v>183</v>
      </c>
      <c r="F29" s="15">
        <v>30614</v>
      </c>
      <c r="G29" s="9" t="str">
        <f t="shared" si="5"/>
        <v>чоловіча</v>
      </c>
      <c r="H29" s="9">
        <f t="shared" si="6"/>
        <v>29</v>
      </c>
      <c r="I29" s="9" t="str">
        <f t="shared" si="7"/>
        <v>ні</v>
      </c>
      <c r="J29" s="15">
        <v>41370</v>
      </c>
      <c r="K29" s="15">
        <v>41645</v>
      </c>
      <c r="L29" s="9" t="str">
        <f t="shared" si="8"/>
        <v>9м.0д.</v>
      </c>
      <c r="M29" s="20" t="s">
        <v>43</v>
      </c>
      <c r="N29" s="21" t="str">
        <f>VLOOKUP(_xlfn.CONCAT(C29," ",D29," ",E29),Відділи!$B$2:$C$101,2,0)</f>
        <v>Бухгалтерія</v>
      </c>
      <c r="O29" s="4">
        <f t="shared" si="3"/>
        <v>30</v>
      </c>
      <c r="P29" s="1"/>
      <c r="Q29" s="1"/>
      <c r="R29" s="1"/>
      <c r="S29" s="1"/>
    </row>
    <row r="30" spans="1:20" ht="14.25" customHeight="1">
      <c r="A30" s="1"/>
      <c r="B30" s="8">
        <v>44</v>
      </c>
      <c r="C30" s="14" t="s">
        <v>258</v>
      </c>
      <c r="D30" s="14" t="s">
        <v>256</v>
      </c>
      <c r="E30" s="14" t="s">
        <v>259</v>
      </c>
      <c r="F30" s="15">
        <v>15594</v>
      </c>
      <c r="G30" s="9" t="str">
        <f t="shared" si="5"/>
        <v>чоловіча</v>
      </c>
      <c r="H30" s="9">
        <f t="shared" si="6"/>
        <v>70</v>
      </c>
      <c r="I30" s="9" t="str">
        <f t="shared" si="7"/>
        <v>так</v>
      </c>
      <c r="J30" s="15">
        <v>41466</v>
      </c>
      <c r="K30" s="15"/>
      <c r="L30" s="9" t="str">
        <f t="shared" si="8"/>
        <v>9р.5м.21д.</v>
      </c>
      <c r="M30" s="20"/>
      <c r="N30" s="21" t="str">
        <f>VLOOKUP(_xlfn.CONCAT(C30," ",D30," ",E30),Відділи!$B$2:$C$101,2,0)</f>
        <v>Бухгалтерія</v>
      </c>
      <c r="O30" s="4" t="str">
        <f t="shared" si="3"/>
        <v/>
      </c>
      <c r="P30" s="1"/>
      <c r="Q30" s="1"/>
      <c r="R30" s="1"/>
      <c r="S30" s="1"/>
    </row>
    <row r="31" spans="1:20" ht="14.25" customHeight="1">
      <c r="A31" s="1"/>
      <c r="B31" s="8">
        <v>18</v>
      </c>
      <c r="C31" s="14" t="s">
        <v>200</v>
      </c>
      <c r="D31" s="14" t="s">
        <v>201</v>
      </c>
      <c r="E31" s="14" t="s">
        <v>202</v>
      </c>
      <c r="F31" s="15">
        <v>34241</v>
      </c>
      <c r="G31" s="9" t="str">
        <f t="shared" si="5"/>
        <v>жіноча</v>
      </c>
      <c r="H31" s="9">
        <f t="shared" si="6"/>
        <v>17</v>
      </c>
      <c r="I31" s="9" t="str">
        <f t="shared" si="7"/>
        <v>ні</v>
      </c>
      <c r="J31" s="15">
        <v>40601</v>
      </c>
      <c r="K31" s="15">
        <v>43800</v>
      </c>
      <c r="L31" s="9" t="str">
        <f t="shared" si="8"/>
        <v>8р.9м.4д.</v>
      </c>
      <c r="M31" s="20" t="s">
        <v>60</v>
      </c>
      <c r="N31" s="21" t="str">
        <f>VLOOKUP(_xlfn.CONCAT(C31," ",D31," ",E31),Відділи!$B$2:$C$101,2,0)</f>
        <v>Бухгалтерія</v>
      </c>
      <c r="O31" s="4">
        <f t="shared" si="3"/>
        <v>26</v>
      </c>
      <c r="P31" s="1"/>
      <c r="Q31" s="1"/>
      <c r="R31" s="1"/>
      <c r="S31" s="1"/>
    </row>
    <row r="32" spans="1:20" ht="14.25" customHeight="1">
      <c r="A32" s="1"/>
      <c r="B32" s="8">
        <v>97</v>
      </c>
      <c r="C32" s="14" t="s">
        <v>354</v>
      </c>
      <c r="D32" s="14" t="s">
        <v>269</v>
      </c>
      <c r="E32" s="14" t="s">
        <v>186</v>
      </c>
      <c r="F32" s="15">
        <v>24140</v>
      </c>
      <c r="G32" s="9" t="str">
        <f t="shared" si="5"/>
        <v>жіноча</v>
      </c>
      <c r="H32" s="9">
        <f t="shared" si="6"/>
        <v>45</v>
      </c>
      <c r="I32" s="9" t="str">
        <f t="shared" si="7"/>
        <v>ні</v>
      </c>
      <c r="J32" s="15">
        <v>40761</v>
      </c>
      <c r="K32" s="15"/>
      <c r="L32" s="9" t="str">
        <f t="shared" si="8"/>
        <v>11р.4м.26д.</v>
      </c>
      <c r="M32" s="20"/>
      <c r="N32" s="21" t="str">
        <f>VLOOKUP(_xlfn.CONCAT(C32," ",D32," ",E32),Відділи!$B$2:$C$101,2,0)</f>
        <v>Бухгалтерія</v>
      </c>
      <c r="O32" s="4" t="str">
        <f t="shared" si="3"/>
        <v/>
      </c>
      <c r="P32" s="1"/>
      <c r="Q32" s="1"/>
      <c r="R32" s="1"/>
      <c r="S32" s="1"/>
    </row>
    <row r="33" spans="1:19" ht="14.25" customHeight="1">
      <c r="A33" s="1"/>
      <c r="B33" s="8">
        <v>40</v>
      </c>
      <c r="C33" s="14" t="s">
        <v>248</v>
      </c>
      <c r="D33" s="14" t="s">
        <v>249</v>
      </c>
      <c r="E33" s="14" t="s">
        <v>250</v>
      </c>
      <c r="F33" s="15">
        <v>24595</v>
      </c>
      <c r="G33" s="9" t="str">
        <f t="shared" si="5"/>
        <v>чоловіча</v>
      </c>
      <c r="H33" s="9">
        <f t="shared" si="6"/>
        <v>44</v>
      </c>
      <c r="I33" s="9" t="str">
        <f t="shared" si="7"/>
        <v>ні</v>
      </c>
      <c r="J33" s="15">
        <v>40889</v>
      </c>
      <c r="K33" s="15">
        <v>44112</v>
      </c>
      <c r="L33" s="9" t="str">
        <f t="shared" si="8"/>
        <v>8р.9м.26д.</v>
      </c>
      <c r="M33" s="20" t="s">
        <v>60</v>
      </c>
      <c r="N33" s="21" t="str">
        <f>VLOOKUP(_xlfn.CONCAT(C33," ",D33," ",E33),Відділи!$B$2:$C$101,2,0)</f>
        <v>Бухгалтерія</v>
      </c>
      <c r="O33" s="4">
        <f t="shared" si="3"/>
        <v>53</v>
      </c>
      <c r="P33" s="1"/>
      <c r="Q33" s="1"/>
      <c r="R33" s="1"/>
      <c r="S33" s="1"/>
    </row>
    <row r="34" spans="1:19" ht="14.25" customHeight="1">
      <c r="A34" s="1"/>
      <c r="B34" s="8">
        <v>5</v>
      </c>
      <c r="C34" s="14" t="s">
        <v>165</v>
      </c>
      <c r="D34" s="14" t="s">
        <v>166</v>
      </c>
      <c r="E34" s="14" t="s">
        <v>167</v>
      </c>
      <c r="F34" s="15">
        <v>32924</v>
      </c>
      <c r="G34" s="9" t="str">
        <f t="shared" si="5"/>
        <v>чоловіча</v>
      </c>
      <c r="H34" s="9">
        <f t="shared" si="6"/>
        <v>19</v>
      </c>
      <c r="I34" s="9" t="str">
        <f t="shared" si="7"/>
        <v>ні</v>
      </c>
      <c r="J34" s="15">
        <v>40058</v>
      </c>
      <c r="K34" s="15"/>
      <c r="L34" s="9" t="str">
        <f t="shared" si="8"/>
        <v>13р.3м.30д.</v>
      </c>
      <c r="M34" s="20"/>
      <c r="N34" s="21" t="str">
        <f>VLOOKUP(_xlfn.CONCAT(C34," ",D34," ",E34),Відділи!$B$2:$C$101,2,0)</f>
        <v>Відділ збуту</v>
      </c>
      <c r="O34" s="4" t="str">
        <f t="shared" si="3"/>
        <v/>
      </c>
      <c r="P34" s="1"/>
      <c r="Q34" s="1"/>
      <c r="R34" s="1"/>
      <c r="S34" s="1"/>
    </row>
    <row r="35" spans="1:19" ht="14.25" customHeight="1">
      <c r="A35" s="1"/>
      <c r="B35" s="8">
        <v>71</v>
      </c>
      <c r="C35" s="14" t="s">
        <v>308</v>
      </c>
      <c r="D35" s="14" t="s">
        <v>309</v>
      </c>
      <c r="E35" s="14" t="s">
        <v>310</v>
      </c>
      <c r="F35" s="15">
        <v>27582</v>
      </c>
      <c r="G35" s="9" t="str">
        <f t="shared" si="5"/>
        <v>чоловіча</v>
      </c>
      <c r="H35" s="9">
        <f t="shared" si="6"/>
        <v>38</v>
      </c>
      <c r="I35" s="9" t="str">
        <f t="shared" si="7"/>
        <v>ні</v>
      </c>
      <c r="J35" s="15">
        <v>41594</v>
      </c>
      <c r="K35" s="15">
        <v>41773</v>
      </c>
      <c r="L35" s="9" t="str">
        <f t="shared" si="8"/>
        <v>5м.28д.</v>
      </c>
      <c r="M35" s="20" t="s">
        <v>41</v>
      </c>
      <c r="N35" s="21" t="str">
        <f>VLOOKUP(_xlfn.CONCAT(C35," ",D35," ",E35),Відділи!$B$2:$C$101,2,0)</f>
        <v>Відділ збуту</v>
      </c>
      <c r="O35" s="4">
        <f t="shared" si="3"/>
        <v>38</v>
      </c>
      <c r="P35" s="1"/>
      <c r="Q35" s="1"/>
      <c r="R35" s="1"/>
      <c r="S35" s="1"/>
    </row>
    <row r="36" spans="1:19" ht="14.25" customHeight="1">
      <c r="A36" s="1"/>
      <c r="B36" s="8">
        <v>94</v>
      </c>
      <c r="C36" s="14" t="s">
        <v>349</v>
      </c>
      <c r="D36" s="14" t="s">
        <v>337</v>
      </c>
      <c r="E36" s="14" t="s">
        <v>327</v>
      </c>
      <c r="F36" s="15">
        <v>21594</v>
      </c>
      <c r="G36" s="9" t="str">
        <f t="shared" si="5"/>
        <v>жіноча</v>
      </c>
      <c r="H36" s="9">
        <f t="shared" si="6"/>
        <v>52</v>
      </c>
      <c r="I36" s="9" t="str">
        <f t="shared" si="7"/>
        <v>ні</v>
      </c>
      <c r="J36" s="15">
        <v>40665</v>
      </c>
      <c r="K36" s="15">
        <v>42641</v>
      </c>
      <c r="L36" s="9" t="str">
        <f t="shared" si="8"/>
        <v>5р.4м.26д.</v>
      </c>
      <c r="M36" s="20" t="s">
        <v>41</v>
      </c>
      <c r="N36" s="21" t="str">
        <f>VLOOKUP(_xlfn.CONCAT(C36," ",D36," ",E36),Відділи!$B$2:$C$101,2,0)</f>
        <v>Відділ збуту</v>
      </c>
      <c r="O36" s="4">
        <f t="shared" si="3"/>
        <v>57</v>
      </c>
      <c r="P36" s="1"/>
      <c r="Q36" s="1"/>
      <c r="R36" s="1"/>
      <c r="S36" s="1"/>
    </row>
    <row r="37" spans="1:19" ht="14.25" customHeight="1">
      <c r="A37" s="1"/>
      <c r="B37" s="8">
        <v>100</v>
      </c>
      <c r="C37" s="14" t="s">
        <v>359</v>
      </c>
      <c r="D37" s="14" t="s">
        <v>331</v>
      </c>
      <c r="E37" s="14" t="s">
        <v>327</v>
      </c>
      <c r="F37" s="15">
        <v>24923</v>
      </c>
      <c r="G37" s="9" t="str">
        <f t="shared" si="5"/>
        <v>жіноча</v>
      </c>
      <c r="H37" s="9">
        <f t="shared" si="6"/>
        <v>40</v>
      </c>
      <c r="I37" s="9" t="str">
        <f t="shared" si="7"/>
        <v>ні</v>
      </c>
      <c r="J37" s="15">
        <v>39546</v>
      </c>
      <c r="K37" s="15">
        <v>41320</v>
      </c>
      <c r="L37" s="9" t="str">
        <f t="shared" si="8"/>
        <v>4р.10м.7д.</v>
      </c>
      <c r="M37" s="20" t="s">
        <v>43</v>
      </c>
      <c r="N37" s="21" t="str">
        <f>VLOOKUP(_xlfn.CONCAT(C37," ",D37," ",E37),Відділи!$B$2:$C$101,2,0)</f>
        <v>Відділ збуту</v>
      </c>
      <c r="O37" s="4">
        <f t="shared" si="3"/>
        <v>44</v>
      </c>
      <c r="P37" s="1"/>
      <c r="Q37" s="1"/>
      <c r="R37" s="1"/>
      <c r="S37" s="1"/>
    </row>
    <row r="38" spans="1:19" ht="14.25" customHeight="1">
      <c r="A38" s="1"/>
      <c r="B38" s="8">
        <v>25</v>
      </c>
      <c r="C38" s="14" t="s">
        <v>216</v>
      </c>
      <c r="D38" s="14" t="s">
        <v>206</v>
      </c>
      <c r="E38" s="14" t="s">
        <v>217</v>
      </c>
      <c r="F38" s="15">
        <v>33931</v>
      </c>
      <c r="G38" s="9" t="str">
        <f t="shared" si="5"/>
        <v>чоловіча</v>
      </c>
      <c r="H38" s="9">
        <f t="shared" si="6"/>
        <v>21</v>
      </c>
      <c r="I38" s="9" t="str">
        <f t="shared" si="7"/>
        <v>ні</v>
      </c>
      <c r="J38" s="15">
        <v>41690</v>
      </c>
      <c r="K38" s="15"/>
      <c r="L38" s="9" t="str">
        <f t="shared" si="8"/>
        <v>8р.10м.12д.</v>
      </c>
      <c r="M38" s="20"/>
      <c r="N38" s="21" t="str">
        <f>VLOOKUP(_xlfn.CONCAT(C38," ",D38," ",E38),Відділи!$B$2:$C$101,2,0)</f>
        <v>Відділ збуту</v>
      </c>
      <c r="O38" s="4" t="str">
        <f t="shared" si="3"/>
        <v/>
      </c>
      <c r="P38" s="1"/>
      <c r="Q38" s="1"/>
      <c r="R38" s="1"/>
      <c r="S38" s="1"/>
    </row>
    <row r="39" spans="1:19" ht="14.25" customHeight="1">
      <c r="A39" s="1"/>
      <c r="B39" s="8">
        <v>74</v>
      </c>
      <c r="C39" s="14" t="s">
        <v>314</v>
      </c>
      <c r="D39" s="14" t="s">
        <v>315</v>
      </c>
      <c r="E39" s="14" t="s">
        <v>231</v>
      </c>
      <c r="F39" s="15">
        <v>22060</v>
      </c>
      <c r="G39" s="9" t="str">
        <f t="shared" si="5"/>
        <v>жіноча</v>
      </c>
      <c r="H39" s="9">
        <f t="shared" si="6"/>
        <v>51</v>
      </c>
      <c r="I39" s="9" t="str">
        <f t="shared" si="7"/>
        <v>ні</v>
      </c>
      <c r="J39" s="15">
        <v>40729</v>
      </c>
      <c r="K39" s="15"/>
      <c r="L39" s="9" t="str">
        <f t="shared" si="8"/>
        <v>11р.5м.27д.</v>
      </c>
      <c r="M39" s="20"/>
      <c r="N39" s="21" t="str">
        <f>VLOOKUP(_xlfn.CONCAT(C39," ",D39," ",E39),Відділи!$B$2:$C$101,2,0)</f>
        <v>Відділ збуту</v>
      </c>
      <c r="O39" s="4" t="str">
        <f t="shared" si="3"/>
        <v/>
      </c>
      <c r="P39" s="1"/>
      <c r="Q39" s="1"/>
      <c r="R39" s="1"/>
      <c r="S39" s="1"/>
    </row>
    <row r="40" spans="1:19" ht="14.25" customHeight="1">
      <c r="A40" s="1"/>
      <c r="B40" s="8">
        <v>45</v>
      </c>
      <c r="C40" s="14" t="s">
        <v>260</v>
      </c>
      <c r="D40" s="14" t="s">
        <v>261</v>
      </c>
      <c r="E40" s="14" t="s">
        <v>170</v>
      </c>
      <c r="F40" s="15">
        <v>26689</v>
      </c>
      <c r="G40" s="9" t="str">
        <f t="shared" si="5"/>
        <v>чоловіча</v>
      </c>
      <c r="H40" s="9">
        <f t="shared" si="6"/>
        <v>42</v>
      </c>
      <c r="I40" s="9" t="str">
        <f t="shared" si="7"/>
        <v>ні</v>
      </c>
      <c r="J40" s="15">
        <v>42041</v>
      </c>
      <c r="K40" s="15"/>
      <c r="L40" s="9" t="str">
        <f t="shared" si="8"/>
        <v>7р.10м.26д.</v>
      </c>
      <c r="M40" s="20"/>
      <c r="N40" s="21" t="str">
        <f>VLOOKUP(_xlfn.CONCAT(C40," ",D40," ",E40),Відділи!$B$2:$C$101,2,0)</f>
        <v>Відділ збуту</v>
      </c>
      <c r="O40" s="4" t="str">
        <f t="shared" si="3"/>
        <v/>
      </c>
      <c r="P40" s="1"/>
      <c r="Q40" s="1"/>
      <c r="R40" s="1"/>
      <c r="S40" s="1"/>
    </row>
    <row r="41" spans="1:19" ht="14.25" customHeight="1">
      <c r="A41" s="1"/>
      <c r="B41" s="8">
        <v>30</v>
      </c>
      <c r="C41" s="14" t="s">
        <v>228</v>
      </c>
      <c r="D41" s="14" t="s">
        <v>219</v>
      </c>
      <c r="E41" s="14" t="s">
        <v>202</v>
      </c>
      <c r="F41" s="15">
        <v>33220</v>
      </c>
      <c r="G41" s="9" t="str">
        <f t="shared" si="5"/>
        <v>жіноча</v>
      </c>
      <c r="H41" s="9">
        <f t="shared" si="6"/>
        <v>16</v>
      </c>
      <c r="I41" s="9" t="str">
        <f t="shared" si="7"/>
        <v>ні</v>
      </c>
      <c r="J41" s="15">
        <v>39417</v>
      </c>
      <c r="K41" s="15"/>
      <c r="L41" s="9" t="str">
        <f t="shared" si="8"/>
        <v>15р.1м.0д.</v>
      </c>
      <c r="M41" s="20"/>
      <c r="N41" s="21" t="str">
        <f>VLOOKUP(_xlfn.CONCAT(C41," ",D41," ",E41),Відділи!$B$2:$C$101,2,0)</f>
        <v>Відділ збуту</v>
      </c>
      <c r="O41" s="4" t="str">
        <f t="shared" si="3"/>
        <v/>
      </c>
      <c r="P41" s="1"/>
      <c r="Q41" s="1"/>
      <c r="R41" s="1"/>
      <c r="S41" s="1"/>
    </row>
    <row r="42" spans="1:19" ht="14.25" customHeight="1">
      <c r="A42" s="1"/>
      <c r="B42" s="8">
        <v>20</v>
      </c>
      <c r="C42" s="14" t="s">
        <v>205</v>
      </c>
      <c r="D42" s="14" t="s">
        <v>206</v>
      </c>
      <c r="E42" s="14" t="s">
        <v>191</v>
      </c>
      <c r="F42" s="15">
        <v>18715</v>
      </c>
      <c r="G42" s="9" t="str">
        <f t="shared" si="5"/>
        <v>чоловіча</v>
      </c>
      <c r="H42" s="9">
        <f t="shared" si="6"/>
        <v>64</v>
      </c>
      <c r="I42" s="9" t="str">
        <f t="shared" si="7"/>
        <v>так</v>
      </c>
      <c r="J42" s="15">
        <v>42233</v>
      </c>
      <c r="K42" s="15"/>
      <c r="L42" s="9" t="str">
        <f t="shared" si="8"/>
        <v>7р.4м.15д.</v>
      </c>
      <c r="M42" s="20"/>
      <c r="N42" s="21" t="str">
        <f>VLOOKUP(_xlfn.CONCAT(C42," ",D42," ",E42),Відділи!$B$2:$C$101,2,0)</f>
        <v>Відділ збуту</v>
      </c>
      <c r="O42" s="4" t="str">
        <f t="shared" si="3"/>
        <v/>
      </c>
      <c r="P42" s="1"/>
      <c r="Q42" s="1"/>
      <c r="R42" s="1"/>
      <c r="S42" s="1"/>
    </row>
    <row r="43" spans="1:19" ht="14.25" customHeight="1">
      <c r="A43" s="1"/>
      <c r="B43" s="8">
        <v>47</v>
      </c>
      <c r="C43" s="14" t="s">
        <v>264</v>
      </c>
      <c r="D43" s="14" t="s">
        <v>265</v>
      </c>
      <c r="E43" s="14" t="s">
        <v>177</v>
      </c>
      <c r="F43" s="15">
        <v>21994</v>
      </c>
      <c r="G43" s="9" t="str">
        <f t="shared" si="5"/>
        <v>чоловіча</v>
      </c>
      <c r="H43" s="9">
        <f t="shared" si="6"/>
        <v>47</v>
      </c>
      <c r="I43" s="9" t="str">
        <f t="shared" si="7"/>
        <v>ні</v>
      </c>
      <c r="J43" s="15">
        <v>39257</v>
      </c>
      <c r="K43" s="15"/>
      <c r="L43" s="9" t="str">
        <f t="shared" si="8"/>
        <v>15р.6м.8д.</v>
      </c>
      <c r="M43" s="20"/>
      <c r="N43" s="21" t="str">
        <f>VLOOKUP(_xlfn.CONCAT(C43," ",D43," ",E43),Відділи!$B$2:$C$101,2,0)</f>
        <v>Відділ збуту</v>
      </c>
      <c r="O43" s="4" t="str">
        <f t="shared" si="3"/>
        <v/>
      </c>
      <c r="P43" s="1"/>
      <c r="Q43" s="1"/>
      <c r="R43" s="1"/>
      <c r="S43" s="1"/>
    </row>
    <row r="44" spans="1:19" ht="14.25" customHeight="1">
      <c r="A44" s="1"/>
      <c r="B44" s="8">
        <v>65</v>
      </c>
      <c r="C44" s="14" t="s">
        <v>300</v>
      </c>
      <c r="D44" s="14" t="s">
        <v>208</v>
      </c>
      <c r="E44" s="14" t="s">
        <v>177</v>
      </c>
      <c r="F44" s="15">
        <v>26823</v>
      </c>
      <c r="G44" s="9" t="str">
        <f t="shared" si="5"/>
        <v>чоловіча</v>
      </c>
      <c r="H44" s="9">
        <f t="shared" si="6"/>
        <v>40</v>
      </c>
      <c r="I44" s="9" t="str">
        <f t="shared" si="7"/>
        <v>ні</v>
      </c>
      <c r="J44" s="15">
        <v>41626</v>
      </c>
      <c r="K44" s="15">
        <v>42166</v>
      </c>
      <c r="L44" s="9" t="str">
        <f t="shared" si="8"/>
        <v>1р.5м.24д.</v>
      </c>
      <c r="M44" s="20" t="s">
        <v>41</v>
      </c>
      <c r="N44" s="21" t="str">
        <f>VLOOKUP(_xlfn.CONCAT(C44," ",D44," ",E44),Відділи!$B$2:$C$101,2,0)</f>
        <v>Відділ збуту</v>
      </c>
      <c r="O44" s="4">
        <f t="shared" si="3"/>
        <v>42</v>
      </c>
      <c r="P44" s="1"/>
      <c r="Q44" s="1"/>
      <c r="R44" s="1"/>
      <c r="S44" s="1"/>
    </row>
    <row r="45" spans="1:19" ht="14.25" customHeight="1">
      <c r="A45" s="1"/>
      <c r="B45" s="8">
        <v>14</v>
      </c>
      <c r="C45" s="14" t="s">
        <v>189</v>
      </c>
      <c r="D45" s="14" t="s">
        <v>190</v>
      </c>
      <c r="E45" s="14" t="s">
        <v>191</v>
      </c>
      <c r="F45" s="15">
        <v>31506</v>
      </c>
      <c r="G45" s="9" t="str">
        <f t="shared" si="5"/>
        <v>чоловіча</v>
      </c>
      <c r="H45" s="9">
        <f t="shared" si="6"/>
        <v>24</v>
      </c>
      <c r="I45" s="9" t="str">
        <f t="shared" si="7"/>
        <v>ні</v>
      </c>
      <c r="J45" s="15">
        <v>40377</v>
      </c>
      <c r="K45" s="15">
        <v>42856</v>
      </c>
      <c r="L45" s="9" t="str">
        <f t="shared" si="8"/>
        <v>6р.9м.13д.</v>
      </c>
      <c r="M45" s="20" t="s">
        <v>43</v>
      </c>
      <c r="N45" s="21" t="str">
        <f>VLOOKUP(_xlfn.CONCAT(C45," ",D45," ",E45),Відділи!$B$2:$C$101,2,0)</f>
        <v>Відділ збуту</v>
      </c>
      <c r="O45" s="4">
        <f t="shared" si="3"/>
        <v>31</v>
      </c>
      <c r="P45" s="1"/>
      <c r="Q45" s="1"/>
      <c r="R45" s="1"/>
      <c r="S45" s="1"/>
    </row>
    <row r="46" spans="1:19" ht="14.25" customHeight="1">
      <c r="A46" s="1"/>
      <c r="B46" s="8">
        <v>76</v>
      </c>
      <c r="C46" s="14" t="s">
        <v>317</v>
      </c>
      <c r="D46" s="14" t="s">
        <v>208</v>
      </c>
      <c r="E46" s="14" t="s">
        <v>212</v>
      </c>
      <c r="F46" s="15">
        <v>23629</v>
      </c>
      <c r="G46" s="9" t="str">
        <f t="shared" si="5"/>
        <v>чоловіча</v>
      </c>
      <c r="H46" s="9">
        <f t="shared" si="6"/>
        <v>50</v>
      </c>
      <c r="I46" s="9" t="str">
        <f t="shared" si="7"/>
        <v>ні</v>
      </c>
      <c r="J46" s="15">
        <v>41945</v>
      </c>
      <c r="K46" s="15"/>
      <c r="L46" s="9" t="str">
        <f t="shared" si="8"/>
        <v>8р.1м.30д.</v>
      </c>
      <c r="M46" s="20"/>
      <c r="N46" s="21" t="str">
        <f>VLOOKUP(_xlfn.CONCAT(C46," ",D46," ",E46),Відділи!$B$2:$C$101,2,0)</f>
        <v>Відділ кадрів</v>
      </c>
      <c r="O46" s="4" t="str">
        <f t="shared" si="3"/>
        <v/>
      </c>
      <c r="P46" s="1"/>
      <c r="Q46" s="1"/>
      <c r="R46" s="1"/>
      <c r="S46" s="1"/>
    </row>
    <row r="47" spans="1:19" ht="14.25" customHeight="1">
      <c r="A47" s="1"/>
      <c r="B47" s="8">
        <v>8</v>
      </c>
      <c r="C47" s="14" t="s">
        <v>173</v>
      </c>
      <c r="D47" s="14" t="s">
        <v>174</v>
      </c>
      <c r="E47" s="14" t="s">
        <v>175</v>
      </c>
      <c r="F47" s="15">
        <v>32759</v>
      </c>
      <c r="G47" s="9" t="str">
        <f t="shared" si="5"/>
        <v>чоловіча</v>
      </c>
      <c r="H47" s="9">
        <f t="shared" si="6"/>
        <v>19</v>
      </c>
      <c r="I47" s="9" t="str">
        <f t="shared" si="7"/>
        <v>ні</v>
      </c>
      <c r="J47" s="15">
        <v>39706</v>
      </c>
      <c r="K47" s="15">
        <v>42633</v>
      </c>
      <c r="L47" s="9" t="str">
        <f t="shared" si="8"/>
        <v>8р.0м.5д.</v>
      </c>
      <c r="M47" s="20" t="s">
        <v>49</v>
      </c>
      <c r="N47" s="21" t="str">
        <f>VLOOKUP(_xlfn.CONCAT(C47," ",D47," ",E47),Відділи!$B$2:$C$101,2,0)</f>
        <v>Відділ кадрів</v>
      </c>
      <c r="O47" s="4">
        <f t="shared" si="3"/>
        <v>27</v>
      </c>
      <c r="P47" s="1"/>
      <c r="Q47" s="1"/>
      <c r="R47" s="1"/>
      <c r="S47" s="1"/>
    </row>
    <row r="48" spans="1:19" ht="14.25" customHeight="1">
      <c r="A48" s="1"/>
      <c r="B48" s="8">
        <v>51</v>
      </c>
      <c r="C48" s="14" t="s">
        <v>274</v>
      </c>
      <c r="D48" s="14" t="s">
        <v>275</v>
      </c>
      <c r="E48" s="14" t="s">
        <v>177</v>
      </c>
      <c r="F48" s="15">
        <v>28427</v>
      </c>
      <c r="G48" s="9" t="str">
        <f t="shared" si="5"/>
        <v>чоловіча</v>
      </c>
      <c r="H48" s="9">
        <f t="shared" si="6"/>
        <v>35</v>
      </c>
      <c r="I48" s="9" t="str">
        <f t="shared" si="7"/>
        <v>ні</v>
      </c>
      <c r="J48" s="15">
        <v>41306</v>
      </c>
      <c r="K48" s="15">
        <v>43946</v>
      </c>
      <c r="L48" s="9" t="str">
        <f t="shared" si="8"/>
        <v>7р.2м.24д.</v>
      </c>
      <c r="M48" s="20" t="s">
        <v>64</v>
      </c>
      <c r="N48" s="21" t="str">
        <f>VLOOKUP(_xlfn.CONCAT(C48," ",D48," ",E48),Відділи!$B$2:$C$101,2,0)</f>
        <v>Відділ кадрів</v>
      </c>
      <c r="O48" s="4">
        <f t="shared" si="3"/>
        <v>42</v>
      </c>
      <c r="P48" s="1"/>
      <c r="Q48" s="1"/>
      <c r="R48" s="1"/>
      <c r="S48" s="1"/>
    </row>
    <row r="49" spans="1:19" ht="14.25" customHeight="1">
      <c r="A49" s="1"/>
      <c r="B49" s="8">
        <v>41</v>
      </c>
      <c r="C49" s="14" t="s">
        <v>251</v>
      </c>
      <c r="D49" s="14" t="s">
        <v>252</v>
      </c>
      <c r="E49" s="14" t="s">
        <v>253</v>
      </c>
      <c r="F49" s="15">
        <v>33477</v>
      </c>
      <c r="G49" s="9" t="str">
        <f t="shared" si="5"/>
        <v>жіноча</v>
      </c>
      <c r="H49" s="9">
        <f t="shared" si="6"/>
        <v>16</v>
      </c>
      <c r="I49" s="9" t="str">
        <f t="shared" si="7"/>
        <v>ні</v>
      </c>
      <c r="J49" s="15">
        <v>39514</v>
      </c>
      <c r="K49" s="15">
        <v>39699</v>
      </c>
      <c r="L49" s="9" t="str">
        <f t="shared" si="8"/>
        <v>6м.1д.</v>
      </c>
      <c r="M49" s="20" t="s">
        <v>49</v>
      </c>
      <c r="N49" s="21" t="str">
        <f>VLOOKUP(_xlfn.CONCAT(C49," ",D49," ",E49),Відділи!$B$2:$C$101,2,0)</f>
        <v>Відділ кадрів</v>
      </c>
      <c r="O49" s="4">
        <f t="shared" si="3"/>
        <v>17</v>
      </c>
      <c r="P49" s="1"/>
      <c r="Q49" s="1"/>
      <c r="R49" s="1"/>
      <c r="S49" s="1"/>
    </row>
    <row r="50" spans="1:19" ht="14.25" customHeight="1">
      <c r="A50" s="1"/>
      <c r="B50" s="8">
        <v>83</v>
      </c>
      <c r="C50" s="14" t="s">
        <v>330</v>
      </c>
      <c r="D50" s="14" t="s">
        <v>331</v>
      </c>
      <c r="E50" s="14" t="s">
        <v>332</v>
      </c>
      <c r="F50" s="15">
        <v>15393</v>
      </c>
      <c r="G50" s="9" t="str">
        <f t="shared" si="5"/>
        <v>жіноча</v>
      </c>
      <c r="H50" s="9">
        <f t="shared" si="6"/>
        <v>69</v>
      </c>
      <c r="I50" s="9" t="str">
        <f t="shared" si="7"/>
        <v>так</v>
      </c>
      <c r="J50" s="15">
        <v>40697</v>
      </c>
      <c r="K50" s="15">
        <v>44045</v>
      </c>
      <c r="L50" s="9" t="str">
        <f t="shared" si="8"/>
        <v>9р.1м.30д.</v>
      </c>
      <c r="M50" s="20" t="s">
        <v>43</v>
      </c>
      <c r="N50" s="21" t="str">
        <f>VLOOKUP(_xlfn.CONCAT(C50," ",D50," ",E50),Відділи!$B$2:$C$101,2,0)</f>
        <v>Відділ кадрів</v>
      </c>
      <c r="O50" s="4">
        <f t="shared" ref="O50:O81" si="9">IFERROR(DATEDIF(F50,K50,"Y"),"")</f>
        <v>78</v>
      </c>
      <c r="P50" s="1"/>
      <c r="Q50" s="1"/>
      <c r="R50" s="1"/>
      <c r="S50" s="1"/>
    </row>
    <row r="51" spans="1:19" ht="14.25" customHeight="1">
      <c r="A51" s="1"/>
      <c r="B51" s="8">
        <v>39</v>
      </c>
      <c r="C51" s="14" t="s">
        <v>246</v>
      </c>
      <c r="D51" s="14" t="s">
        <v>247</v>
      </c>
      <c r="E51" s="14" t="s">
        <v>199</v>
      </c>
      <c r="F51" s="15">
        <v>25911</v>
      </c>
      <c r="G51" s="9" t="str">
        <f t="shared" si="5"/>
        <v>жіноча</v>
      </c>
      <c r="H51" s="9">
        <f t="shared" si="6"/>
        <v>36</v>
      </c>
      <c r="I51" s="9" t="str">
        <f t="shared" si="7"/>
        <v>ні</v>
      </c>
      <c r="J51" s="15">
        <v>39097</v>
      </c>
      <c r="K51" s="15">
        <v>39334</v>
      </c>
      <c r="L51" s="9" t="str">
        <f t="shared" si="8"/>
        <v>7м.25д.</v>
      </c>
      <c r="M51" s="20" t="s">
        <v>41</v>
      </c>
      <c r="N51" s="21" t="str">
        <f>VLOOKUP(_xlfn.CONCAT(C51," ",D51," ",E51),Відділи!$B$2:$C$101,2,0)</f>
        <v>Відділ кадрів</v>
      </c>
      <c r="O51" s="4">
        <f t="shared" si="9"/>
        <v>36</v>
      </c>
      <c r="P51" s="1"/>
      <c r="Q51" s="1"/>
      <c r="R51" s="1"/>
      <c r="S51" s="1"/>
    </row>
    <row r="52" spans="1:19" ht="14.25" customHeight="1">
      <c r="A52" s="1"/>
      <c r="B52" s="8">
        <v>54</v>
      </c>
      <c r="C52" s="14" t="s">
        <v>280</v>
      </c>
      <c r="D52" s="14" t="s">
        <v>281</v>
      </c>
      <c r="E52" s="14" t="s">
        <v>282</v>
      </c>
      <c r="F52" s="15">
        <v>27879</v>
      </c>
      <c r="G52" s="9" t="str">
        <f t="shared" si="5"/>
        <v>жіноча</v>
      </c>
      <c r="H52" s="9">
        <f t="shared" si="6"/>
        <v>38</v>
      </c>
      <c r="I52" s="9" t="str">
        <f t="shared" si="7"/>
        <v>ні</v>
      </c>
      <c r="J52" s="15">
        <v>41913</v>
      </c>
      <c r="K52" s="15"/>
      <c r="L52" s="9" t="str">
        <f t="shared" si="8"/>
        <v>8р.3м.0д.</v>
      </c>
      <c r="M52" s="20"/>
      <c r="N52" s="21" t="str">
        <f>VLOOKUP(_xlfn.CONCAT(C52," ",D52," ",E52),Відділи!$B$2:$C$101,2,0)</f>
        <v>Відділ кадрів</v>
      </c>
      <c r="O52" s="4" t="str">
        <f t="shared" si="9"/>
        <v/>
      </c>
      <c r="P52" s="1"/>
      <c r="Q52" s="1"/>
      <c r="R52" s="1"/>
      <c r="S52" s="1"/>
    </row>
    <row r="53" spans="1:19" ht="14.25" customHeight="1">
      <c r="A53" s="1"/>
      <c r="B53" s="8">
        <v>69</v>
      </c>
      <c r="C53" s="14" t="s">
        <v>305</v>
      </c>
      <c r="D53" s="14" t="s">
        <v>185</v>
      </c>
      <c r="E53" s="14" t="s">
        <v>161</v>
      </c>
      <c r="F53" s="15">
        <v>29875</v>
      </c>
      <c r="G53" s="9" t="str">
        <f t="shared" si="5"/>
        <v>жіноча</v>
      </c>
      <c r="H53" s="9">
        <f t="shared" si="6"/>
        <v>25</v>
      </c>
      <c r="I53" s="9" t="str">
        <f t="shared" si="7"/>
        <v>ні</v>
      </c>
      <c r="J53" s="15">
        <v>39321</v>
      </c>
      <c r="K53" s="15"/>
      <c r="L53" s="9" t="str">
        <f t="shared" si="8"/>
        <v>15р.4м.5д.</v>
      </c>
      <c r="M53" s="20"/>
      <c r="N53" s="21" t="str">
        <f>VLOOKUP(_xlfn.CONCAT(C53," ",D53," ",E53),Відділи!$B$2:$C$101,2,0)</f>
        <v>Відділ кадрів</v>
      </c>
      <c r="O53" s="4" t="str">
        <f t="shared" si="9"/>
        <v/>
      </c>
      <c r="P53" s="1"/>
      <c r="Q53" s="1"/>
      <c r="R53" s="1"/>
      <c r="S53" s="1"/>
    </row>
    <row r="54" spans="1:19" ht="14.25" customHeight="1">
      <c r="A54" s="1"/>
      <c r="B54" s="8">
        <v>42</v>
      </c>
      <c r="C54" s="14" t="s">
        <v>254</v>
      </c>
      <c r="D54" s="14" t="s">
        <v>206</v>
      </c>
      <c r="E54" s="14" t="s">
        <v>158</v>
      </c>
      <c r="F54" s="15">
        <v>21710</v>
      </c>
      <c r="G54" s="9" t="str">
        <f t="shared" si="5"/>
        <v>чоловіча</v>
      </c>
      <c r="H54" s="9">
        <f t="shared" si="6"/>
        <v>50</v>
      </c>
      <c r="I54" s="9" t="str">
        <f t="shared" si="7"/>
        <v>ні</v>
      </c>
      <c r="J54" s="15">
        <v>40186</v>
      </c>
      <c r="K54" s="15">
        <v>42650</v>
      </c>
      <c r="L54" s="9" t="str">
        <f t="shared" si="8"/>
        <v>6р.8м.29д.</v>
      </c>
      <c r="M54" s="20" t="s">
        <v>41</v>
      </c>
      <c r="N54" s="21" t="str">
        <f>VLOOKUP(_xlfn.CONCAT(C54," ",D54," ",E54),Відділи!$B$2:$C$101,2,0)</f>
        <v>Відділ кадрів</v>
      </c>
      <c r="O54" s="4">
        <f t="shared" si="9"/>
        <v>57</v>
      </c>
      <c r="P54" s="1"/>
      <c r="Q54" s="1"/>
      <c r="R54" s="1"/>
      <c r="S54" s="1"/>
    </row>
    <row r="55" spans="1:19" ht="14.25" customHeight="1">
      <c r="A55" s="1"/>
      <c r="B55" s="8">
        <v>34</v>
      </c>
      <c r="C55" s="14" t="s">
        <v>237</v>
      </c>
      <c r="D55" s="14" t="s">
        <v>208</v>
      </c>
      <c r="E55" s="14" t="s">
        <v>191</v>
      </c>
      <c r="F55" s="15">
        <v>21569</v>
      </c>
      <c r="G55" s="9" t="str">
        <f t="shared" si="5"/>
        <v>чоловіча</v>
      </c>
      <c r="H55" s="9">
        <f t="shared" si="6"/>
        <v>55</v>
      </c>
      <c r="I55" s="9" t="str">
        <f t="shared" si="7"/>
        <v>ні</v>
      </c>
      <c r="J55" s="15">
        <v>41721</v>
      </c>
      <c r="K55" s="15">
        <v>43575</v>
      </c>
      <c r="L55" s="9" t="str">
        <f t="shared" si="8"/>
        <v>5р.0м.28д.</v>
      </c>
      <c r="M55" s="20" t="s">
        <v>43</v>
      </c>
      <c r="N55" s="21" t="str">
        <f>VLOOKUP(_xlfn.CONCAT(C55," ",D55," ",E55),Відділи!$B$2:$C$101,2,0)</f>
        <v>Господарський відділ</v>
      </c>
      <c r="O55" s="4">
        <f t="shared" si="9"/>
        <v>60</v>
      </c>
      <c r="P55" s="1"/>
      <c r="Q55" s="1"/>
      <c r="R55" s="1"/>
      <c r="S55" s="1"/>
    </row>
    <row r="56" spans="1:19" ht="14.25" customHeight="1">
      <c r="A56" s="1"/>
      <c r="B56" s="8">
        <v>89</v>
      </c>
      <c r="C56" s="14" t="s">
        <v>341</v>
      </c>
      <c r="D56" s="14" t="s">
        <v>342</v>
      </c>
      <c r="E56" s="14" t="s">
        <v>263</v>
      </c>
      <c r="F56" s="15">
        <v>30489</v>
      </c>
      <c r="G56" s="9" t="str">
        <f t="shared" si="5"/>
        <v>жіноча</v>
      </c>
      <c r="H56" s="9">
        <f t="shared" si="6"/>
        <v>26</v>
      </c>
      <c r="I56" s="9" t="str">
        <f t="shared" si="7"/>
        <v>ні</v>
      </c>
      <c r="J56" s="15">
        <v>40313</v>
      </c>
      <c r="K56" s="15"/>
      <c r="L56" s="9" t="str">
        <f t="shared" si="8"/>
        <v>12р.7м.17д.</v>
      </c>
      <c r="M56" s="20"/>
      <c r="N56" s="21" t="str">
        <f>VLOOKUP(_xlfn.CONCAT(C56," ",D56," ",E56),Відділи!$B$2:$C$101,2,0)</f>
        <v>Господарський відділ</v>
      </c>
      <c r="O56" s="4" t="str">
        <f t="shared" si="9"/>
        <v/>
      </c>
      <c r="P56" s="1"/>
      <c r="Q56" s="1"/>
      <c r="R56" s="1"/>
      <c r="S56" s="1"/>
    </row>
    <row r="57" spans="1:19" ht="14.25" customHeight="1">
      <c r="A57" s="1"/>
      <c r="B57" s="8">
        <v>92</v>
      </c>
      <c r="C57" s="14" t="s">
        <v>345</v>
      </c>
      <c r="D57" s="14" t="s">
        <v>346</v>
      </c>
      <c r="E57" s="14" t="s">
        <v>347</v>
      </c>
      <c r="F57" s="15">
        <v>31700</v>
      </c>
      <c r="G57" s="9" t="str">
        <f t="shared" si="5"/>
        <v>чоловіча</v>
      </c>
      <c r="H57" s="9">
        <f t="shared" si="6"/>
        <v>24</v>
      </c>
      <c r="I57" s="9" t="str">
        <f t="shared" si="7"/>
        <v>ні</v>
      </c>
      <c r="J57" s="15">
        <v>40505</v>
      </c>
      <c r="K57" s="15">
        <v>44492</v>
      </c>
      <c r="L57" s="9" t="str">
        <f t="shared" si="8"/>
        <v>10р.11м.0д.</v>
      </c>
      <c r="M57" s="20" t="s">
        <v>60</v>
      </c>
      <c r="N57" s="21" t="str">
        <f>VLOOKUP(_xlfn.CONCAT(C57," ",D57," ",E57),Відділи!$B$2:$C$101,2,0)</f>
        <v>Господарський відділ</v>
      </c>
      <c r="O57" s="4">
        <f t="shared" si="9"/>
        <v>35</v>
      </c>
      <c r="P57" s="1"/>
      <c r="Q57" s="1"/>
      <c r="R57" s="1"/>
      <c r="S57" s="1"/>
    </row>
    <row r="58" spans="1:19" ht="14.25" customHeight="1">
      <c r="A58" s="1"/>
      <c r="B58" s="8">
        <v>53</v>
      </c>
      <c r="C58" s="14" t="s">
        <v>277</v>
      </c>
      <c r="D58" s="14" t="s">
        <v>278</v>
      </c>
      <c r="E58" s="14" t="s">
        <v>279</v>
      </c>
      <c r="F58" s="15">
        <v>30057</v>
      </c>
      <c r="G58" s="9" t="str">
        <f t="shared" si="5"/>
        <v>жіноча</v>
      </c>
      <c r="H58" s="9">
        <f t="shared" si="6"/>
        <v>27</v>
      </c>
      <c r="I58" s="9" t="str">
        <f t="shared" si="7"/>
        <v>ні</v>
      </c>
      <c r="J58" s="15">
        <v>40218</v>
      </c>
      <c r="K58" s="15">
        <v>43883</v>
      </c>
      <c r="L58" s="9" t="str">
        <f t="shared" si="8"/>
        <v>10р.0м.13д.</v>
      </c>
      <c r="M58" s="20" t="s">
        <v>43</v>
      </c>
      <c r="N58" s="21" t="str">
        <f>VLOOKUP(_xlfn.CONCAT(C58," ",D58," ",E58),Відділи!$B$2:$C$101,2,0)</f>
        <v>Господарський відділ</v>
      </c>
      <c r="O58" s="4">
        <f t="shared" si="9"/>
        <v>37</v>
      </c>
      <c r="P58" s="1"/>
      <c r="Q58" s="1"/>
      <c r="R58" s="1"/>
      <c r="S58" s="1"/>
    </row>
    <row r="59" spans="1:19" ht="14.25" customHeight="1">
      <c r="A59" s="1"/>
      <c r="B59" s="8">
        <v>26</v>
      </c>
      <c r="C59" s="14" t="s">
        <v>218</v>
      </c>
      <c r="D59" s="14" t="s">
        <v>219</v>
      </c>
      <c r="E59" s="14" t="s">
        <v>220</v>
      </c>
      <c r="F59" s="15">
        <v>27653</v>
      </c>
      <c r="G59" s="9" t="str">
        <f t="shared" ref="G59:G90" si="10">IF(RIGHT(E59,1)="ч","чоловіча","жіноча")</f>
        <v>жіноча</v>
      </c>
      <c r="H59" s="9">
        <f t="shared" ref="H59:H90" si="11">ROUNDDOWN((J59-F59)/365.25,0)</f>
        <v>34</v>
      </c>
      <c r="I59" s="9" t="str">
        <f t="shared" ref="I59:I90" si="12">IF(H59&gt;=60,"так","ні")</f>
        <v>ні</v>
      </c>
      <c r="J59" s="15">
        <v>40154</v>
      </c>
      <c r="K59" s="15">
        <v>42329</v>
      </c>
      <c r="L59" s="9" t="str">
        <f t="shared" ref="L59:L90" si="13">IFERROR(IF(DATEDIF(J59,K59,"Y")=0,DATEDIF(J59,K59,"M")&amp;"м."&amp;DATEDIF(J59,K59,"MD")&amp;"д.",
   DATEDIF(J59,K59,"Y")&amp;"р."&amp;DATEDIF(J59,K59,"YM")&amp;"м."&amp;DATEDIF(J59,K59,"MD")&amp;"д."),
   IF(DATEDIF(J59,$F$14,"Y")=0,DATEDIF(J59,$F$14,"M")&amp;"м."&amp;DATEDIF(J59,$F$14,"MD")&amp;"д.",
   DATEDIF(J59,$F$14,"Y")&amp;"р."&amp;DATEDIF(J59,$F$14,"YM")&amp;"м."&amp;DATEDIF(J59,$F$14,"MD")&amp;"д."))</f>
        <v>5р.11м.14д.</v>
      </c>
      <c r="M59" s="20" t="s">
        <v>43</v>
      </c>
      <c r="N59" s="21" t="str">
        <f>VLOOKUP(_xlfn.CONCAT(C59," ",D59," ",E59),Відділи!$B$2:$C$101,2,0)</f>
        <v>Господарський відділ</v>
      </c>
      <c r="O59" s="4">
        <f t="shared" si="9"/>
        <v>40</v>
      </c>
      <c r="P59" s="1"/>
      <c r="Q59" s="1"/>
      <c r="R59" s="1"/>
      <c r="S59" s="1"/>
    </row>
    <row r="60" spans="1:19" ht="14.25" customHeight="1">
      <c r="A60" s="1"/>
      <c r="B60" s="8">
        <v>23</v>
      </c>
      <c r="C60" s="14" t="s">
        <v>211</v>
      </c>
      <c r="D60" s="14" t="s">
        <v>172</v>
      </c>
      <c r="E60" s="14" t="s">
        <v>212</v>
      </c>
      <c r="F60" s="15">
        <v>17031</v>
      </c>
      <c r="G60" s="9" t="str">
        <f t="shared" si="10"/>
        <v>чоловіча</v>
      </c>
      <c r="H60" s="9">
        <f t="shared" si="11"/>
        <v>67</v>
      </c>
      <c r="I60" s="9" t="str">
        <f t="shared" si="12"/>
        <v>так</v>
      </c>
      <c r="J60" s="15">
        <v>41753</v>
      </c>
      <c r="K60" s="15">
        <v>42085</v>
      </c>
      <c r="L60" s="9" t="str">
        <f t="shared" si="13"/>
        <v>10м.26д.</v>
      </c>
      <c r="M60" s="20" t="s">
        <v>49</v>
      </c>
      <c r="N60" s="21" t="str">
        <f>VLOOKUP(_xlfn.CONCAT(C60," ",D60," ",E60),Відділи!$B$2:$C$101,2,0)</f>
        <v>Господарський відділ</v>
      </c>
      <c r="O60" s="4">
        <f t="shared" si="9"/>
        <v>68</v>
      </c>
      <c r="P60" s="1"/>
      <c r="Q60" s="1"/>
      <c r="R60" s="1"/>
      <c r="S60" s="1"/>
    </row>
    <row r="61" spans="1:19" ht="14.25" customHeight="1">
      <c r="A61" s="1"/>
      <c r="B61" s="8">
        <v>43</v>
      </c>
      <c r="C61" s="14" t="s">
        <v>255</v>
      </c>
      <c r="D61" s="14" t="s">
        <v>256</v>
      </c>
      <c r="E61" s="14" t="s">
        <v>257</v>
      </c>
      <c r="F61" s="15">
        <v>29095</v>
      </c>
      <c r="G61" s="9" t="str">
        <f t="shared" si="10"/>
        <v>чоловіча</v>
      </c>
      <c r="H61" s="9">
        <f t="shared" si="11"/>
        <v>34</v>
      </c>
      <c r="I61" s="9" t="str">
        <f t="shared" si="12"/>
        <v>ні</v>
      </c>
      <c r="J61" s="15">
        <v>41658</v>
      </c>
      <c r="K61" s="15">
        <v>42149</v>
      </c>
      <c r="L61" s="9" t="str">
        <f t="shared" si="13"/>
        <v>1р.4м.6д.</v>
      </c>
      <c r="M61" s="20" t="s">
        <v>80</v>
      </c>
      <c r="N61" s="21" t="str">
        <f>VLOOKUP(_xlfn.CONCAT(C61," ",D61," ",E61),Відділи!$B$2:$C$101,2,0)</f>
        <v>Господарський відділ</v>
      </c>
      <c r="O61" s="4">
        <f t="shared" si="9"/>
        <v>35</v>
      </c>
      <c r="P61" s="1"/>
      <c r="Q61" s="1"/>
      <c r="R61" s="1"/>
      <c r="S61" s="1"/>
    </row>
    <row r="62" spans="1:19" ht="14.25" customHeight="1">
      <c r="A62" s="1"/>
      <c r="B62" s="8">
        <v>96</v>
      </c>
      <c r="C62" s="14" t="s">
        <v>351</v>
      </c>
      <c r="D62" s="14" t="s">
        <v>352</v>
      </c>
      <c r="E62" s="14" t="s">
        <v>353</v>
      </c>
      <c r="F62" s="15">
        <v>28324</v>
      </c>
      <c r="G62" s="9" t="str">
        <f t="shared" si="10"/>
        <v>чоловіча</v>
      </c>
      <c r="H62" s="9">
        <f t="shared" si="11"/>
        <v>33</v>
      </c>
      <c r="I62" s="9" t="str">
        <f t="shared" si="12"/>
        <v>ні</v>
      </c>
      <c r="J62" s="15">
        <v>40441</v>
      </c>
      <c r="K62" s="15">
        <v>43414</v>
      </c>
      <c r="L62" s="9" t="str">
        <f t="shared" si="13"/>
        <v>8р.1м.21д.</v>
      </c>
      <c r="M62" s="20" t="s">
        <v>43</v>
      </c>
      <c r="N62" s="21" t="str">
        <f>VLOOKUP(_xlfn.CONCAT(C62," ",D62," ",E62),Відділи!$B$2:$C$101,2,0)</f>
        <v>Господарський відділ</v>
      </c>
      <c r="O62" s="4">
        <f t="shared" si="9"/>
        <v>41</v>
      </c>
      <c r="P62" s="1"/>
      <c r="Q62" s="1"/>
      <c r="R62" s="1"/>
      <c r="S62" s="1"/>
    </row>
    <row r="63" spans="1:19" ht="14.25" customHeight="1">
      <c r="A63" s="1"/>
      <c r="B63" s="8">
        <v>6</v>
      </c>
      <c r="C63" s="14" t="s">
        <v>168</v>
      </c>
      <c r="D63" s="14" t="s">
        <v>169</v>
      </c>
      <c r="E63" s="14" t="s">
        <v>170</v>
      </c>
      <c r="F63" s="15">
        <v>14246</v>
      </c>
      <c r="G63" s="9" t="str">
        <f t="shared" si="10"/>
        <v>чоловіча</v>
      </c>
      <c r="H63" s="9">
        <f t="shared" si="11"/>
        <v>75</v>
      </c>
      <c r="I63" s="9" t="str">
        <f t="shared" si="12"/>
        <v>так</v>
      </c>
      <c r="J63" s="15">
        <v>41881</v>
      </c>
      <c r="K63" s="15">
        <v>43076</v>
      </c>
      <c r="L63" s="9" t="str">
        <f t="shared" si="13"/>
        <v>3р.3м.7д.</v>
      </c>
      <c r="M63" s="20" t="s">
        <v>43</v>
      </c>
      <c r="N63" s="21" t="str">
        <f>VLOOKUP(_xlfn.CONCAT(C63," ",D63," ",E63),Відділи!$B$2:$C$101,2,0)</f>
        <v>Господарський відділ</v>
      </c>
      <c r="O63" s="4">
        <f t="shared" si="9"/>
        <v>78</v>
      </c>
      <c r="P63" s="1"/>
      <c r="Q63" s="1"/>
      <c r="R63" s="1"/>
      <c r="S63" s="1"/>
    </row>
    <row r="64" spans="1:19" ht="14.25" customHeight="1">
      <c r="A64" s="1"/>
      <c r="B64" s="8">
        <v>11</v>
      </c>
      <c r="C64" s="14" t="s">
        <v>181</v>
      </c>
      <c r="D64" s="14" t="s">
        <v>182</v>
      </c>
      <c r="E64" s="14" t="s">
        <v>183</v>
      </c>
      <c r="F64" s="15">
        <v>19494</v>
      </c>
      <c r="G64" s="9" t="str">
        <f t="shared" si="10"/>
        <v>чоловіча</v>
      </c>
      <c r="H64" s="9">
        <f t="shared" si="11"/>
        <v>59</v>
      </c>
      <c r="I64" s="9" t="str">
        <f t="shared" si="12"/>
        <v>ні</v>
      </c>
      <c r="J64" s="15">
        <v>41114</v>
      </c>
      <c r="K64" s="15">
        <v>44251</v>
      </c>
      <c r="L64" s="9" t="str">
        <f t="shared" si="13"/>
        <v>8р.7м.0д.</v>
      </c>
      <c r="M64" s="20" t="s">
        <v>43</v>
      </c>
      <c r="N64" s="21" t="str">
        <f>VLOOKUP(_xlfn.CONCAT(C64," ",D64," ",E64),Відділи!$B$2:$C$101,2,0)</f>
        <v>Господарський відділ</v>
      </c>
      <c r="O64" s="4">
        <f t="shared" si="9"/>
        <v>67</v>
      </c>
      <c r="P64" s="1"/>
      <c r="Q64" s="1"/>
      <c r="R64" s="1"/>
      <c r="S64" s="1"/>
    </row>
    <row r="65" spans="1:19" ht="14.25" customHeight="1">
      <c r="A65" s="1"/>
      <c r="B65" s="8">
        <v>29</v>
      </c>
      <c r="C65" s="14" t="s">
        <v>226</v>
      </c>
      <c r="D65" s="14" t="s">
        <v>206</v>
      </c>
      <c r="E65" s="14" t="s">
        <v>227</v>
      </c>
      <c r="F65" s="15">
        <v>33895</v>
      </c>
      <c r="G65" s="9" t="str">
        <f t="shared" si="10"/>
        <v>чоловіча</v>
      </c>
      <c r="H65" s="9">
        <f t="shared" si="11"/>
        <v>16</v>
      </c>
      <c r="I65" s="9" t="str">
        <f t="shared" si="12"/>
        <v>ні</v>
      </c>
      <c r="J65" s="15">
        <v>39898</v>
      </c>
      <c r="K65" s="15">
        <v>39910</v>
      </c>
      <c r="L65" s="9" t="str">
        <f t="shared" si="13"/>
        <v>0м.12д.</v>
      </c>
      <c r="M65" s="20" t="s">
        <v>43</v>
      </c>
      <c r="N65" s="21" t="str">
        <f>VLOOKUP(_xlfn.CONCAT(C65," ",D65," ",E65),Відділи!$B$2:$C$101,2,0)</f>
        <v>Дирекція</v>
      </c>
      <c r="O65" s="4">
        <f t="shared" si="9"/>
        <v>16</v>
      </c>
      <c r="P65" s="1"/>
      <c r="Q65" s="1"/>
      <c r="R65" s="1"/>
      <c r="S65" s="1"/>
    </row>
    <row r="66" spans="1:19" ht="14.25" customHeight="1">
      <c r="A66" s="1"/>
      <c r="B66" s="8">
        <v>86</v>
      </c>
      <c r="C66" s="14" t="s">
        <v>336</v>
      </c>
      <c r="D66" s="14" t="s">
        <v>337</v>
      </c>
      <c r="E66" s="14" t="s">
        <v>282</v>
      </c>
      <c r="F66" s="15">
        <v>33108</v>
      </c>
      <c r="G66" s="9" t="str">
        <f t="shared" si="10"/>
        <v>жіноча</v>
      </c>
      <c r="H66" s="9">
        <f t="shared" si="11"/>
        <v>23</v>
      </c>
      <c r="I66" s="9" t="str">
        <f t="shared" si="12"/>
        <v>ні</v>
      </c>
      <c r="J66" s="15">
        <v>41562</v>
      </c>
      <c r="K66" s="15"/>
      <c r="L66" s="9" t="str">
        <f t="shared" si="13"/>
        <v>9р.2м.17д.</v>
      </c>
      <c r="M66" s="20"/>
      <c r="N66" s="21" t="str">
        <f>VLOOKUP(_xlfn.CONCAT(C66," ",D66," ",E66),Відділи!$B$2:$C$101,2,0)</f>
        <v>Дирекція</v>
      </c>
      <c r="O66" s="4" t="str">
        <f t="shared" si="9"/>
        <v/>
      </c>
      <c r="P66" s="1"/>
      <c r="Q66" s="1"/>
      <c r="R66" s="1"/>
      <c r="S66" s="1"/>
    </row>
    <row r="67" spans="1:19" ht="14.25" customHeight="1">
      <c r="A67" s="1"/>
      <c r="B67" s="8">
        <v>33</v>
      </c>
      <c r="C67" s="14" t="s">
        <v>234</v>
      </c>
      <c r="D67" s="14" t="s">
        <v>235</v>
      </c>
      <c r="E67" s="14" t="s">
        <v>236</v>
      </c>
      <c r="F67" s="15">
        <v>22516</v>
      </c>
      <c r="G67" s="9" t="str">
        <f t="shared" si="10"/>
        <v>чоловіча</v>
      </c>
      <c r="H67" s="9">
        <f t="shared" si="11"/>
        <v>46</v>
      </c>
      <c r="I67" s="9" t="str">
        <f t="shared" si="12"/>
        <v>ні</v>
      </c>
      <c r="J67" s="15">
        <v>39674</v>
      </c>
      <c r="K67" s="15">
        <v>42213</v>
      </c>
      <c r="L67" s="9" t="str">
        <f t="shared" si="13"/>
        <v>6р.11м.14д.</v>
      </c>
      <c r="M67" s="20" t="s">
        <v>41</v>
      </c>
      <c r="N67" s="21" t="str">
        <f>VLOOKUP(_xlfn.CONCAT(C67," ",D67," ",E67),Відділи!$B$2:$C$101,2,0)</f>
        <v>Дирекція</v>
      </c>
      <c r="O67" s="4">
        <f t="shared" si="9"/>
        <v>53</v>
      </c>
      <c r="P67" s="1"/>
      <c r="Q67" s="1"/>
      <c r="R67" s="1"/>
      <c r="S67" s="1"/>
    </row>
    <row r="68" spans="1:19" ht="14.25" customHeight="1">
      <c r="A68" s="1"/>
      <c r="B68" s="8">
        <v>66</v>
      </c>
      <c r="C68" s="14" t="s">
        <v>301</v>
      </c>
      <c r="D68" s="14" t="s">
        <v>302</v>
      </c>
      <c r="E68" s="14" t="s">
        <v>273</v>
      </c>
      <c r="F68" s="15">
        <v>28525</v>
      </c>
      <c r="G68" s="9" t="str">
        <f t="shared" si="10"/>
        <v>жіноча</v>
      </c>
      <c r="H68" s="9">
        <f t="shared" si="11"/>
        <v>32</v>
      </c>
      <c r="I68" s="9" t="str">
        <f t="shared" si="12"/>
        <v>ні</v>
      </c>
      <c r="J68" s="15">
        <v>40473</v>
      </c>
      <c r="K68" s="15">
        <v>41983</v>
      </c>
      <c r="L68" s="9" t="str">
        <f t="shared" si="13"/>
        <v>4р.1м.18д.</v>
      </c>
      <c r="M68" s="20" t="s">
        <v>43</v>
      </c>
      <c r="N68" s="21" t="str">
        <f>VLOOKUP(_xlfn.CONCAT(C68," ",D68," ",E68),Відділи!$B$2:$C$101,2,0)</f>
        <v>Дирекція</v>
      </c>
      <c r="O68" s="4">
        <f t="shared" si="9"/>
        <v>36</v>
      </c>
      <c r="P68" s="1"/>
      <c r="Q68" s="1"/>
      <c r="R68" s="1"/>
      <c r="S68" s="1"/>
    </row>
    <row r="69" spans="1:19" ht="14.25" customHeight="1">
      <c r="A69" s="1"/>
      <c r="B69" s="8">
        <v>57</v>
      </c>
      <c r="C69" s="14" t="s">
        <v>286</v>
      </c>
      <c r="D69" s="14" t="s">
        <v>287</v>
      </c>
      <c r="E69" s="14" t="s">
        <v>161</v>
      </c>
      <c r="F69" s="15">
        <v>24147</v>
      </c>
      <c r="G69" s="9" t="str">
        <f t="shared" si="10"/>
        <v>жіноча</v>
      </c>
      <c r="H69" s="9">
        <f t="shared" si="11"/>
        <v>45</v>
      </c>
      <c r="I69" s="9" t="str">
        <f t="shared" si="12"/>
        <v>ні</v>
      </c>
      <c r="J69" s="15">
        <v>40857</v>
      </c>
      <c r="K69" s="15">
        <v>42512</v>
      </c>
      <c r="L69" s="9" t="str">
        <f t="shared" si="13"/>
        <v>4р.6м.12д.</v>
      </c>
      <c r="M69" s="20" t="s">
        <v>43</v>
      </c>
      <c r="N69" s="21" t="str">
        <f>VLOOKUP(_xlfn.CONCAT(C69," ",D69," ",E69),Відділи!$B$2:$C$101,2,0)</f>
        <v>Дирекція</v>
      </c>
      <c r="O69" s="4">
        <f t="shared" si="9"/>
        <v>50</v>
      </c>
      <c r="P69" s="1"/>
      <c r="Q69" s="1"/>
      <c r="R69" s="1"/>
      <c r="S69" s="1"/>
    </row>
    <row r="70" spans="1:19" ht="14.25" customHeight="1">
      <c r="A70" s="1"/>
      <c r="B70" s="8">
        <v>7</v>
      </c>
      <c r="C70" s="14" t="s">
        <v>171</v>
      </c>
      <c r="D70" s="14" t="s">
        <v>172</v>
      </c>
      <c r="E70" s="14" t="s">
        <v>36</v>
      </c>
      <c r="F70" s="15">
        <v>21218</v>
      </c>
      <c r="G70" s="9" t="str">
        <f t="shared" si="10"/>
        <v>чоловіча</v>
      </c>
      <c r="H70" s="9">
        <f t="shared" si="11"/>
        <v>54</v>
      </c>
      <c r="I70" s="9" t="str">
        <f t="shared" si="12"/>
        <v>ні</v>
      </c>
      <c r="J70" s="15">
        <v>41210</v>
      </c>
      <c r="K70" s="15">
        <v>43091</v>
      </c>
      <c r="L70" s="9" t="str">
        <f t="shared" si="13"/>
        <v>5р.1м.24д.</v>
      </c>
      <c r="M70" s="20" t="s">
        <v>43</v>
      </c>
      <c r="N70" s="21" t="str">
        <f>VLOOKUP(_xlfn.CONCAT(C70," ",D70," ",E70),Відділи!$B$2:$C$101,2,0)</f>
        <v>Дирекція</v>
      </c>
      <c r="O70" s="4">
        <f t="shared" si="9"/>
        <v>59</v>
      </c>
      <c r="P70" s="1"/>
      <c r="Q70" s="1"/>
      <c r="R70" s="1"/>
      <c r="S70" s="1"/>
    </row>
    <row r="71" spans="1:19" ht="14.25" customHeight="1">
      <c r="A71" s="1"/>
      <c r="B71" s="8">
        <v>64</v>
      </c>
      <c r="C71" s="14" t="s">
        <v>298</v>
      </c>
      <c r="D71" s="14" t="s">
        <v>169</v>
      </c>
      <c r="E71" s="14" t="s">
        <v>299</v>
      </c>
      <c r="F71" s="15">
        <v>23710</v>
      </c>
      <c r="G71" s="9" t="str">
        <f t="shared" si="10"/>
        <v>чоловіча</v>
      </c>
      <c r="H71" s="9">
        <f t="shared" si="11"/>
        <v>50</v>
      </c>
      <c r="I71" s="9" t="str">
        <f t="shared" si="12"/>
        <v>ні</v>
      </c>
      <c r="J71" s="15">
        <v>42105</v>
      </c>
      <c r="K71" s="15">
        <v>42627</v>
      </c>
      <c r="L71" s="9" t="str">
        <f t="shared" si="13"/>
        <v>1р.5м.3д.</v>
      </c>
      <c r="M71" s="20" t="s">
        <v>43</v>
      </c>
      <c r="N71" s="21" t="str">
        <f>VLOOKUP(_xlfn.CONCAT(C71," ",D71," ",E71),Відділи!$B$2:$C$101,2,0)</f>
        <v>Дирекція</v>
      </c>
      <c r="O71" s="4">
        <f t="shared" si="9"/>
        <v>51</v>
      </c>
      <c r="P71" s="1"/>
      <c r="Q71" s="1"/>
      <c r="R71" s="1"/>
      <c r="S71" s="1"/>
    </row>
    <row r="72" spans="1:19" ht="14.25" customHeight="1">
      <c r="A72" s="1"/>
      <c r="B72" s="8">
        <v>37</v>
      </c>
      <c r="C72" s="14" t="s">
        <v>241</v>
      </c>
      <c r="D72" s="14" t="s">
        <v>193</v>
      </c>
      <c r="E72" s="14" t="s">
        <v>242</v>
      </c>
      <c r="F72" s="15">
        <v>13685</v>
      </c>
      <c r="G72" s="9" t="str">
        <f t="shared" si="10"/>
        <v>жіноча</v>
      </c>
      <c r="H72" s="9">
        <f t="shared" si="11"/>
        <v>72</v>
      </c>
      <c r="I72" s="9" t="str">
        <f t="shared" si="12"/>
        <v>так</v>
      </c>
      <c r="J72" s="15">
        <v>39994</v>
      </c>
      <c r="K72" s="15">
        <v>40350</v>
      </c>
      <c r="L72" s="9" t="str">
        <f t="shared" si="13"/>
        <v>11м.22д.</v>
      </c>
      <c r="M72" s="20" t="s">
        <v>41</v>
      </c>
      <c r="N72" s="21" t="str">
        <f>VLOOKUP(_xlfn.CONCAT(C72," ",D72," ",E72),Відділи!$B$2:$C$101,2,0)</f>
        <v>Дирекція</v>
      </c>
      <c r="O72" s="4">
        <f t="shared" si="9"/>
        <v>73</v>
      </c>
      <c r="P72" s="1"/>
      <c r="Q72" s="1"/>
      <c r="R72" s="1"/>
      <c r="S72" s="1"/>
    </row>
    <row r="73" spans="1:19" ht="14.25" customHeight="1">
      <c r="A73" s="1"/>
      <c r="B73" s="8">
        <v>15</v>
      </c>
      <c r="C73" s="14" t="s">
        <v>192</v>
      </c>
      <c r="D73" s="14" t="s">
        <v>193</v>
      </c>
      <c r="E73" s="14" t="s">
        <v>194</v>
      </c>
      <c r="F73" s="15">
        <v>23831</v>
      </c>
      <c r="G73" s="9" t="str">
        <f t="shared" si="10"/>
        <v>жіноча</v>
      </c>
      <c r="H73" s="9">
        <f t="shared" si="11"/>
        <v>42</v>
      </c>
      <c r="I73" s="9" t="str">
        <f t="shared" si="12"/>
        <v>ні</v>
      </c>
      <c r="J73" s="15">
        <v>39385</v>
      </c>
      <c r="K73" s="15">
        <v>42249</v>
      </c>
      <c r="L73" s="9" t="str">
        <f t="shared" si="13"/>
        <v>7р.10м.3д.</v>
      </c>
      <c r="M73" s="20" t="s">
        <v>49</v>
      </c>
      <c r="N73" s="21" t="str">
        <f>VLOOKUP(_xlfn.CONCAT(C73," ",D73," ",E73),Відділи!$B$2:$C$101,2,0)</f>
        <v>Дирекція</v>
      </c>
      <c r="O73" s="4">
        <f t="shared" si="9"/>
        <v>50</v>
      </c>
      <c r="P73" s="1"/>
      <c r="Q73" s="1"/>
      <c r="R73" s="1"/>
      <c r="S73" s="1"/>
    </row>
    <row r="74" spans="1:19" ht="14.25" customHeight="1">
      <c r="A74" s="1"/>
      <c r="B74" s="8">
        <v>95</v>
      </c>
      <c r="C74" s="14" t="s">
        <v>350</v>
      </c>
      <c r="D74" s="14" t="s">
        <v>157</v>
      </c>
      <c r="E74" s="14" t="s">
        <v>170</v>
      </c>
      <c r="F74" s="15">
        <v>29826</v>
      </c>
      <c r="G74" s="9" t="str">
        <f t="shared" si="10"/>
        <v>чоловіча</v>
      </c>
      <c r="H74" s="9">
        <f t="shared" si="11"/>
        <v>27</v>
      </c>
      <c r="I74" s="9" t="str">
        <f t="shared" si="12"/>
        <v>ні</v>
      </c>
      <c r="J74" s="15">
        <v>39770</v>
      </c>
      <c r="K74" s="15">
        <v>42842</v>
      </c>
      <c r="L74" s="9" t="str">
        <f t="shared" si="13"/>
        <v>8р.4м.30д.</v>
      </c>
      <c r="M74" s="20" t="s">
        <v>49</v>
      </c>
      <c r="N74" s="21" t="str">
        <f>VLOOKUP(_xlfn.CONCAT(C74," ",D74," ",E74),Відділи!$B$2:$C$101,2,0)</f>
        <v>Дирекція</v>
      </c>
      <c r="O74" s="4">
        <f t="shared" si="9"/>
        <v>35</v>
      </c>
      <c r="P74" s="1"/>
      <c r="Q74" s="1"/>
      <c r="R74" s="1"/>
      <c r="S74" s="1"/>
    </row>
    <row r="75" spans="1:19" ht="14.25" customHeight="1">
      <c r="A75" s="1"/>
      <c r="B75" s="8">
        <v>78</v>
      </c>
      <c r="C75" s="14" t="s">
        <v>321</v>
      </c>
      <c r="D75" s="14" t="s">
        <v>206</v>
      </c>
      <c r="E75" s="14" t="s">
        <v>36</v>
      </c>
      <c r="F75" s="15">
        <v>17065</v>
      </c>
      <c r="G75" s="9" t="str">
        <f t="shared" si="10"/>
        <v>чоловіча</v>
      </c>
      <c r="H75" s="9">
        <f t="shared" si="11"/>
        <v>67</v>
      </c>
      <c r="I75" s="9" t="str">
        <f t="shared" si="12"/>
        <v>так</v>
      </c>
      <c r="J75" s="15">
        <v>41785</v>
      </c>
      <c r="K75" s="15"/>
      <c r="L75" s="9" t="str">
        <f t="shared" si="13"/>
        <v>8р.7м.6д.</v>
      </c>
      <c r="M75" s="20"/>
      <c r="N75" s="21" t="str">
        <f>VLOOKUP(_xlfn.CONCAT(C75," ",D75," ",E75),Відділи!$B$2:$C$101,2,0)</f>
        <v>Маркетинговий відділ</v>
      </c>
      <c r="O75" s="4" t="str">
        <f t="shared" si="9"/>
        <v/>
      </c>
      <c r="P75" s="1"/>
      <c r="Q75" s="1"/>
      <c r="R75" s="1"/>
      <c r="S75" s="1"/>
    </row>
    <row r="76" spans="1:19" ht="14.25" customHeight="1">
      <c r="A76" s="1"/>
      <c r="B76" s="8">
        <v>4</v>
      </c>
      <c r="C76" s="14" t="s">
        <v>162</v>
      </c>
      <c r="D76" s="14" t="s">
        <v>163</v>
      </c>
      <c r="E76" s="14" t="s">
        <v>164</v>
      </c>
      <c r="F76" s="15">
        <v>29167</v>
      </c>
      <c r="G76" s="9" t="str">
        <f t="shared" si="10"/>
        <v>жіноча</v>
      </c>
      <c r="H76" s="9">
        <f t="shared" si="11"/>
        <v>28</v>
      </c>
      <c r="I76" s="9" t="str">
        <f t="shared" si="12"/>
        <v>ні</v>
      </c>
      <c r="J76" s="15">
        <v>39610</v>
      </c>
      <c r="K76" s="15">
        <v>43357</v>
      </c>
      <c r="L76" s="9" t="str">
        <f t="shared" si="13"/>
        <v>10р.3м.3д.</v>
      </c>
      <c r="M76" s="20" t="s">
        <v>41</v>
      </c>
      <c r="N76" s="21" t="str">
        <f>VLOOKUP(_xlfn.CONCAT(C76," ",D76," ",E76),Відділи!$B$2:$C$101,2,0)</f>
        <v>Маркетинговий відділ</v>
      </c>
      <c r="O76" s="4">
        <f t="shared" si="9"/>
        <v>38</v>
      </c>
      <c r="P76" s="1"/>
      <c r="Q76" s="1"/>
      <c r="R76" s="1"/>
      <c r="S76" s="1"/>
    </row>
    <row r="77" spans="1:19" ht="14.25" customHeight="1">
      <c r="A77" s="1"/>
      <c r="B77" s="8">
        <v>85</v>
      </c>
      <c r="C77" s="14" t="s">
        <v>335</v>
      </c>
      <c r="D77" s="14" t="s">
        <v>284</v>
      </c>
      <c r="E77" s="14" t="s">
        <v>299</v>
      </c>
      <c r="F77" s="15">
        <v>28938</v>
      </c>
      <c r="G77" s="9" t="str">
        <f t="shared" si="10"/>
        <v>чоловіча</v>
      </c>
      <c r="H77" s="9">
        <f t="shared" si="11"/>
        <v>35</v>
      </c>
      <c r="I77" s="9" t="str">
        <f t="shared" si="12"/>
        <v>ні</v>
      </c>
      <c r="J77" s="15">
        <v>41817</v>
      </c>
      <c r="K77" s="15"/>
      <c r="L77" s="9" t="str">
        <f t="shared" si="13"/>
        <v>8р.6м.5д.</v>
      </c>
      <c r="M77" s="20"/>
      <c r="N77" s="21" t="str">
        <f>VLOOKUP(_xlfn.CONCAT(C77," ",D77," ",E77),Відділи!$B$2:$C$101,2,0)</f>
        <v>Маркетинговий відділ</v>
      </c>
      <c r="O77" s="4" t="str">
        <f t="shared" si="9"/>
        <v/>
      </c>
      <c r="P77" s="1"/>
      <c r="Q77" s="1"/>
      <c r="R77" s="1"/>
      <c r="S77" s="1"/>
    </row>
    <row r="78" spans="1:19" ht="14.25" customHeight="1">
      <c r="A78" s="1"/>
      <c r="B78" s="8">
        <v>73</v>
      </c>
      <c r="C78" s="14" t="s">
        <v>313</v>
      </c>
      <c r="D78" s="14" t="s">
        <v>249</v>
      </c>
      <c r="E78" s="14" t="s">
        <v>170</v>
      </c>
      <c r="F78" s="15">
        <v>31922</v>
      </c>
      <c r="G78" s="9" t="str">
        <f t="shared" si="10"/>
        <v>чоловіча</v>
      </c>
      <c r="H78" s="9">
        <f t="shared" si="11"/>
        <v>24</v>
      </c>
      <c r="I78" s="9" t="str">
        <f t="shared" si="12"/>
        <v>ні</v>
      </c>
      <c r="J78" s="15">
        <v>41018</v>
      </c>
      <c r="K78" s="15">
        <v>43608</v>
      </c>
      <c r="L78" s="9" t="str">
        <f t="shared" si="13"/>
        <v>7р.1м.4д.</v>
      </c>
      <c r="M78" s="20" t="s">
        <v>49</v>
      </c>
      <c r="N78" s="21" t="str">
        <f>VLOOKUP(_xlfn.CONCAT(C78," ",D78," ",E78),Відділи!$B$2:$C$101,2,0)</f>
        <v>Маркетинговий відділ</v>
      </c>
      <c r="O78" s="4">
        <f t="shared" si="9"/>
        <v>31</v>
      </c>
      <c r="P78" s="1"/>
      <c r="Q78" s="1"/>
      <c r="R78" s="1"/>
      <c r="S78" s="1"/>
    </row>
    <row r="79" spans="1:19" ht="14.25" customHeight="1">
      <c r="A79" s="1"/>
      <c r="B79" s="8">
        <v>22</v>
      </c>
      <c r="C79" s="14" t="s">
        <v>209</v>
      </c>
      <c r="D79" s="14" t="s">
        <v>169</v>
      </c>
      <c r="E79" s="14" t="s">
        <v>210</v>
      </c>
      <c r="F79" s="15">
        <v>21341</v>
      </c>
      <c r="G79" s="9" t="str">
        <f t="shared" si="10"/>
        <v>чоловіча</v>
      </c>
      <c r="H79" s="9">
        <f t="shared" si="11"/>
        <v>52</v>
      </c>
      <c r="I79" s="9" t="str">
        <f t="shared" si="12"/>
        <v>ні</v>
      </c>
      <c r="J79" s="15">
        <v>40569</v>
      </c>
      <c r="K79" s="15">
        <v>43935</v>
      </c>
      <c r="L79" s="9" t="str">
        <f t="shared" si="13"/>
        <v>9р.2м.19д.</v>
      </c>
      <c r="M79" s="20" t="s">
        <v>41</v>
      </c>
      <c r="N79" s="21" t="str">
        <f>VLOOKUP(_xlfn.CONCAT(C79," ",D79," ",E79),Відділи!$B$2:$C$101,2,0)</f>
        <v>Маркетинговий відділ</v>
      </c>
      <c r="O79" s="4">
        <f t="shared" si="9"/>
        <v>61</v>
      </c>
      <c r="P79" s="1"/>
      <c r="Q79" s="1"/>
      <c r="R79" s="1"/>
      <c r="S79" s="1"/>
    </row>
    <row r="80" spans="1:19" ht="14.25" customHeight="1">
      <c r="A80" s="1"/>
      <c r="B80" s="8">
        <v>59</v>
      </c>
      <c r="C80" s="14" t="s">
        <v>290</v>
      </c>
      <c r="D80" s="14" t="s">
        <v>157</v>
      </c>
      <c r="E80" s="14" t="s">
        <v>257</v>
      </c>
      <c r="F80" s="15">
        <v>32683</v>
      </c>
      <c r="G80" s="9" t="str">
        <f t="shared" si="10"/>
        <v>чоловіча</v>
      </c>
      <c r="H80" s="9">
        <f t="shared" si="11"/>
        <v>20</v>
      </c>
      <c r="I80" s="9" t="str">
        <f t="shared" si="12"/>
        <v>ні</v>
      </c>
      <c r="J80" s="15">
        <v>40281</v>
      </c>
      <c r="K80" s="15"/>
      <c r="L80" s="9" t="str">
        <f t="shared" si="13"/>
        <v>12р.8м.19д.</v>
      </c>
      <c r="M80" s="20"/>
      <c r="N80" s="21" t="str">
        <f>VLOOKUP(_xlfn.CONCAT(C80," ",D80," ",E80),Відділи!$B$2:$C$101,2,0)</f>
        <v>Маркетинговий відділ</v>
      </c>
      <c r="O80" s="4" t="str">
        <f t="shared" si="9"/>
        <v/>
      </c>
      <c r="P80" s="1"/>
      <c r="Q80" s="1"/>
      <c r="R80" s="1"/>
      <c r="S80" s="1"/>
    </row>
    <row r="81" spans="1:19" ht="14.25" customHeight="1">
      <c r="A81" s="1"/>
      <c r="B81" s="8">
        <v>24</v>
      </c>
      <c r="C81" s="14" t="s">
        <v>213</v>
      </c>
      <c r="D81" s="14" t="s">
        <v>214</v>
      </c>
      <c r="E81" s="14" t="s">
        <v>215</v>
      </c>
      <c r="F81" s="15">
        <v>31330</v>
      </c>
      <c r="G81" s="9" t="str">
        <f t="shared" si="10"/>
        <v>чоловіча</v>
      </c>
      <c r="H81" s="9">
        <f t="shared" si="11"/>
        <v>26</v>
      </c>
      <c r="I81" s="9" t="str">
        <f t="shared" si="12"/>
        <v>ні</v>
      </c>
      <c r="J81" s="15">
        <v>41082</v>
      </c>
      <c r="K81" s="15">
        <v>43222</v>
      </c>
      <c r="L81" s="9" t="str">
        <f t="shared" si="13"/>
        <v>5р.10м.10д.</v>
      </c>
      <c r="M81" s="20" t="s">
        <v>64</v>
      </c>
      <c r="N81" s="21" t="str">
        <f>VLOOKUP(_xlfn.CONCAT(C81," ",D81," ",E81),Відділи!$B$2:$C$101,2,0)</f>
        <v>Маркетинговий відділ</v>
      </c>
      <c r="O81" s="4">
        <f t="shared" si="9"/>
        <v>32</v>
      </c>
      <c r="P81" s="1"/>
      <c r="Q81" s="1"/>
      <c r="R81" s="1"/>
      <c r="S81" s="1"/>
    </row>
    <row r="82" spans="1:19" ht="14.25" customHeight="1">
      <c r="A82" s="1"/>
      <c r="B82" s="8">
        <v>21</v>
      </c>
      <c r="C82" s="14" t="s">
        <v>207</v>
      </c>
      <c r="D82" s="14" t="s">
        <v>208</v>
      </c>
      <c r="E82" s="14" t="s">
        <v>170</v>
      </c>
      <c r="F82" s="15">
        <v>24172</v>
      </c>
      <c r="G82" s="9" t="str">
        <f t="shared" si="10"/>
        <v>чоловіча</v>
      </c>
      <c r="H82" s="9">
        <f t="shared" si="11"/>
        <v>45</v>
      </c>
      <c r="I82" s="9" t="str">
        <f t="shared" si="12"/>
        <v>ні</v>
      </c>
      <c r="J82" s="15">
        <v>40793</v>
      </c>
      <c r="K82" s="15">
        <v>41565</v>
      </c>
      <c r="L82" s="9" t="str">
        <f t="shared" si="13"/>
        <v>2р.1м.11д.</v>
      </c>
      <c r="M82" s="20" t="s">
        <v>64</v>
      </c>
      <c r="N82" s="21" t="str">
        <f>VLOOKUP(_xlfn.CONCAT(C82," ",D82," ",E82),Відділи!$B$2:$C$101,2,0)</f>
        <v>Маркетинговий відділ</v>
      </c>
      <c r="O82" s="4">
        <f t="shared" ref="O82:O117" si="14">IFERROR(DATEDIF(F82,K82,"Y"),"")</f>
        <v>47</v>
      </c>
      <c r="P82" s="1"/>
      <c r="Q82" s="1"/>
      <c r="R82" s="1"/>
      <c r="S82" s="1"/>
    </row>
    <row r="83" spans="1:19" ht="14.25" customHeight="1">
      <c r="A83" s="1"/>
      <c r="B83" s="8">
        <v>67</v>
      </c>
      <c r="C83" s="14" t="s">
        <v>303</v>
      </c>
      <c r="D83" s="14" t="s">
        <v>214</v>
      </c>
      <c r="E83" s="14" t="s">
        <v>177</v>
      </c>
      <c r="F83" s="15">
        <v>31356</v>
      </c>
      <c r="G83" s="9" t="str">
        <f t="shared" si="10"/>
        <v>чоловіча</v>
      </c>
      <c r="H83" s="9">
        <f t="shared" si="11"/>
        <v>26</v>
      </c>
      <c r="I83" s="9" t="str">
        <f t="shared" si="12"/>
        <v>ні</v>
      </c>
      <c r="J83" s="15">
        <v>41146</v>
      </c>
      <c r="K83" s="15">
        <v>41619</v>
      </c>
      <c r="L83" s="9" t="str">
        <f t="shared" si="13"/>
        <v>1р.3м.16д.</v>
      </c>
      <c r="M83" s="20" t="s">
        <v>43</v>
      </c>
      <c r="N83" s="21" t="str">
        <f>VLOOKUP(_xlfn.CONCAT(C83," ",D83," ",E83),Відділи!$B$2:$C$101,2,0)</f>
        <v>Маркетинговий відділ</v>
      </c>
      <c r="O83" s="4">
        <f t="shared" si="14"/>
        <v>28</v>
      </c>
      <c r="P83" s="1"/>
      <c r="Q83" s="1"/>
      <c r="R83" s="1"/>
      <c r="S83" s="1"/>
    </row>
    <row r="84" spans="1:19" ht="14.25" customHeight="1">
      <c r="A84" s="1"/>
      <c r="B84" s="8">
        <v>90</v>
      </c>
      <c r="C84" s="14" t="s">
        <v>343</v>
      </c>
      <c r="D84" s="14" t="s">
        <v>323</v>
      </c>
      <c r="E84" s="14" t="s">
        <v>199</v>
      </c>
      <c r="F84" s="15">
        <v>29855</v>
      </c>
      <c r="G84" s="9" t="str">
        <f t="shared" si="10"/>
        <v>жіноча</v>
      </c>
      <c r="H84" s="9">
        <f t="shared" si="11"/>
        <v>27</v>
      </c>
      <c r="I84" s="9" t="str">
        <f t="shared" si="12"/>
        <v>ні</v>
      </c>
      <c r="J84" s="15">
        <v>39866</v>
      </c>
      <c r="K84" s="15">
        <v>40131</v>
      </c>
      <c r="L84" s="9" t="str">
        <f t="shared" si="13"/>
        <v>8м.23д.</v>
      </c>
      <c r="M84" s="20" t="s">
        <v>49</v>
      </c>
      <c r="N84" s="21" t="str">
        <f>VLOOKUP(_xlfn.CONCAT(C84," ",D84," ",E84),Відділи!$B$2:$C$101,2,0)</f>
        <v>Маркетинговий відділ</v>
      </c>
      <c r="O84" s="4">
        <f t="shared" si="14"/>
        <v>28</v>
      </c>
      <c r="P84" s="1"/>
      <c r="Q84" s="1"/>
      <c r="R84" s="1"/>
      <c r="S84" s="1"/>
    </row>
    <row r="85" spans="1:19" ht="14.25" customHeight="1">
      <c r="A85" s="1"/>
      <c r="B85" s="8">
        <v>32</v>
      </c>
      <c r="C85" s="14" t="s">
        <v>232</v>
      </c>
      <c r="D85" s="14" t="s">
        <v>172</v>
      </c>
      <c r="E85" s="14" t="s">
        <v>233</v>
      </c>
      <c r="F85" s="15">
        <v>28032</v>
      </c>
      <c r="G85" s="9" t="str">
        <f t="shared" si="10"/>
        <v>чоловіча</v>
      </c>
      <c r="H85" s="9">
        <f t="shared" si="11"/>
        <v>36</v>
      </c>
      <c r="I85" s="9" t="str">
        <f t="shared" si="12"/>
        <v>ні</v>
      </c>
      <c r="J85" s="15">
        <v>41498</v>
      </c>
      <c r="K85" s="15"/>
      <c r="L85" s="9" t="str">
        <f t="shared" si="13"/>
        <v>9р.4м.20д.</v>
      </c>
      <c r="M85" s="20"/>
      <c r="N85" s="21" t="str">
        <f>VLOOKUP(_xlfn.CONCAT(C85," ",D85," ",E85),Відділи!$B$2:$C$101,2,0)</f>
        <v>Маркетинговий відділ</v>
      </c>
      <c r="O85" s="4" t="str">
        <f t="shared" si="14"/>
        <v/>
      </c>
      <c r="P85" s="1"/>
      <c r="Q85" s="1"/>
      <c r="R85" s="1"/>
      <c r="S85" s="1"/>
    </row>
    <row r="86" spans="1:19" ht="14.25" customHeight="1">
      <c r="A86" s="1"/>
      <c r="B86" s="8">
        <v>61</v>
      </c>
      <c r="C86" s="14" t="s">
        <v>292</v>
      </c>
      <c r="D86" s="14" t="s">
        <v>179</v>
      </c>
      <c r="E86" s="14" t="s">
        <v>293</v>
      </c>
      <c r="F86" s="15">
        <v>29974</v>
      </c>
      <c r="G86" s="9" t="str">
        <f t="shared" si="10"/>
        <v>чоловіча</v>
      </c>
      <c r="H86" s="9">
        <f t="shared" si="11"/>
        <v>28</v>
      </c>
      <c r="I86" s="9" t="str">
        <f t="shared" si="12"/>
        <v>ні</v>
      </c>
      <c r="J86" s="15">
        <v>40537</v>
      </c>
      <c r="K86" s="15"/>
      <c r="L86" s="9" t="str">
        <f t="shared" si="13"/>
        <v>12р.0м.7д.</v>
      </c>
      <c r="M86" s="20"/>
      <c r="N86" s="21" t="str">
        <f>VLOOKUP(_xlfn.CONCAT(C86," ",D86," ",E86),Відділи!$B$2:$C$101,2,0)</f>
        <v>Маркетинговий відділ</v>
      </c>
      <c r="O86" s="4" t="str">
        <f t="shared" si="14"/>
        <v/>
      </c>
      <c r="P86" s="1"/>
      <c r="Q86" s="1"/>
      <c r="R86" s="1"/>
      <c r="S86" s="1"/>
    </row>
    <row r="87" spans="1:19" ht="14.25" customHeight="1">
      <c r="A87" s="1"/>
      <c r="B87" s="8">
        <v>31</v>
      </c>
      <c r="C87" s="14" t="s">
        <v>229</v>
      </c>
      <c r="D87" s="14" t="s">
        <v>230</v>
      </c>
      <c r="E87" s="14" t="s">
        <v>231</v>
      </c>
      <c r="F87" s="15">
        <v>25737</v>
      </c>
      <c r="G87" s="9" t="str">
        <f t="shared" si="10"/>
        <v>жіноча</v>
      </c>
      <c r="H87" s="9">
        <f t="shared" si="11"/>
        <v>42</v>
      </c>
      <c r="I87" s="9" t="str">
        <f t="shared" si="12"/>
        <v>ні</v>
      </c>
      <c r="J87" s="15">
        <v>41338</v>
      </c>
      <c r="K87" s="15">
        <v>44270</v>
      </c>
      <c r="L87" s="9" t="str">
        <f t="shared" si="13"/>
        <v>8р.0м.10д.</v>
      </c>
      <c r="M87" s="20" t="s">
        <v>49</v>
      </c>
      <c r="N87" s="21" t="str">
        <f>VLOOKUP(_xlfn.CONCAT(C87," ",D87," ",E87),Відділи!$B$2:$C$101,2,0)</f>
        <v>Маркетинговий відділ</v>
      </c>
      <c r="O87" s="4">
        <f t="shared" si="14"/>
        <v>50</v>
      </c>
      <c r="P87" s="1"/>
      <c r="Q87" s="1"/>
      <c r="R87" s="1"/>
      <c r="S87" s="1"/>
    </row>
    <row r="88" spans="1:19" ht="14.25" customHeight="1">
      <c r="A88" s="1"/>
      <c r="B88" s="8">
        <v>72</v>
      </c>
      <c r="C88" s="14" t="s">
        <v>311</v>
      </c>
      <c r="D88" s="14" t="s">
        <v>312</v>
      </c>
      <c r="E88" s="14" t="s">
        <v>273</v>
      </c>
      <c r="F88" s="15">
        <v>33948</v>
      </c>
      <c r="G88" s="9" t="str">
        <f t="shared" si="10"/>
        <v>жіноча</v>
      </c>
      <c r="H88" s="9">
        <f t="shared" si="11"/>
        <v>16</v>
      </c>
      <c r="I88" s="9" t="str">
        <f t="shared" si="12"/>
        <v>ні</v>
      </c>
      <c r="J88" s="15">
        <v>39930</v>
      </c>
      <c r="K88" s="15">
        <v>41931</v>
      </c>
      <c r="L88" s="9" t="str">
        <f t="shared" si="13"/>
        <v>5р.5м.22д.</v>
      </c>
      <c r="M88" s="20" t="s">
        <v>49</v>
      </c>
      <c r="N88" s="21" t="str">
        <f>VLOOKUP(_xlfn.CONCAT(C88," ",D88," ",E88),Відділи!$B$2:$C$101,2,0)</f>
        <v>Фінансовий відділ</v>
      </c>
      <c r="O88" s="4">
        <f t="shared" si="14"/>
        <v>21</v>
      </c>
      <c r="P88" s="1"/>
      <c r="Q88" s="1"/>
      <c r="R88" s="1"/>
      <c r="S88" s="1"/>
    </row>
    <row r="89" spans="1:19" ht="14.25" customHeight="1">
      <c r="A89" s="1"/>
      <c r="B89" s="8">
        <v>68</v>
      </c>
      <c r="C89" s="14" t="s">
        <v>304</v>
      </c>
      <c r="D89" s="14" t="s">
        <v>169</v>
      </c>
      <c r="E89" s="14" t="s">
        <v>299</v>
      </c>
      <c r="F89" s="15">
        <v>34631</v>
      </c>
      <c r="G89" s="9" t="str">
        <f t="shared" si="10"/>
        <v>чоловіча</v>
      </c>
      <c r="H89" s="9">
        <f t="shared" si="11"/>
        <v>13</v>
      </c>
      <c r="I89" s="9" t="str">
        <f t="shared" si="12"/>
        <v>ні</v>
      </c>
      <c r="J89" s="15">
        <v>39738</v>
      </c>
      <c r="K89" s="15">
        <v>43459</v>
      </c>
      <c r="L89" s="9" t="str">
        <f t="shared" si="13"/>
        <v>10р.2м.8д.</v>
      </c>
      <c r="M89" s="20" t="s">
        <v>64</v>
      </c>
      <c r="N89" s="21" t="str">
        <f>VLOOKUP(_xlfn.CONCAT(C89," ",D89," ",E89),Відділи!$B$2:$C$101,2,0)</f>
        <v>Фінансовий відділ</v>
      </c>
      <c r="O89" s="4">
        <f t="shared" si="14"/>
        <v>24</v>
      </c>
      <c r="P89" s="1"/>
      <c r="Q89" s="1"/>
      <c r="R89" s="1"/>
      <c r="S89" s="1"/>
    </row>
    <row r="90" spans="1:19" ht="14.25" customHeight="1">
      <c r="A90" s="1"/>
      <c r="B90" s="8">
        <v>3</v>
      </c>
      <c r="C90" s="14" t="s">
        <v>159</v>
      </c>
      <c r="D90" s="14" t="s">
        <v>160</v>
      </c>
      <c r="E90" s="14" t="s">
        <v>161</v>
      </c>
      <c r="F90" s="15">
        <v>23852</v>
      </c>
      <c r="G90" s="9" t="str">
        <f t="shared" si="10"/>
        <v>жіноча</v>
      </c>
      <c r="H90" s="9">
        <f t="shared" si="11"/>
        <v>47</v>
      </c>
      <c r="I90" s="9" t="str">
        <f t="shared" si="12"/>
        <v>ні</v>
      </c>
      <c r="J90" s="15">
        <v>41050</v>
      </c>
      <c r="K90" s="15">
        <v>44836</v>
      </c>
      <c r="L90" s="9" t="str">
        <f t="shared" si="13"/>
        <v>10р.4м.11д.</v>
      </c>
      <c r="M90" s="20" t="s">
        <v>43</v>
      </c>
      <c r="N90" s="21" t="str">
        <f>VLOOKUP(_xlfn.CONCAT(C90," ",D90," ",E90),Відділи!$B$2:$C$101,2,0)</f>
        <v>Фінансовий відділ</v>
      </c>
      <c r="O90" s="4">
        <f t="shared" si="14"/>
        <v>57</v>
      </c>
      <c r="P90" s="1"/>
      <c r="Q90" s="1"/>
      <c r="R90" s="1"/>
      <c r="S90" s="1"/>
    </row>
    <row r="91" spans="1:19" ht="14.25" customHeight="1">
      <c r="A91" s="1"/>
      <c r="B91" s="8">
        <v>58</v>
      </c>
      <c r="C91" s="14" t="s">
        <v>288</v>
      </c>
      <c r="D91" s="14" t="s">
        <v>244</v>
      </c>
      <c r="E91" s="14" t="s">
        <v>289</v>
      </c>
      <c r="F91" s="15">
        <v>28342</v>
      </c>
      <c r="G91" s="9" t="str">
        <f t="shared" ref="G91:G117" si="15">IF(RIGHT(E91,1)="ч","чоловіча","жіноча")</f>
        <v>чоловіча</v>
      </c>
      <c r="H91" s="9">
        <f t="shared" ref="H91:H117" si="16">ROUNDDOWN((J91-F91)/365.25,0)</f>
        <v>29</v>
      </c>
      <c r="I91" s="9" t="str">
        <f t="shared" ref="I91:I117" si="17">IF(H91&gt;=60,"так","ні")</f>
        <v>ні</v>
      </c>
      <c r="J91" s="15">
        <v>39289</v>
      </c>
      <c r="K91" s="15"/>
      <c r="L91" s="9" t="str">
        <f t="shared" ref="L91:L117" si="18">IFERROR(IF(DATEDIF(J91,K91,"Y")=0,DATEDIF(J91,K91,"M")&amp;"м."&amp;DATEDIF(J91,K91,"MD")&amp;"д.",
   DATEDIF(J91,K91,"Y")&amp;"р."&amp;DATEDIF(J91,K91,"YM")&amp;"м."&amp;DATEDIF(J91,K91,"MD")&amp;"д."),
   IF(DATEDIF(J91,$F$14,"Y")=0,DATEDIF(J91,$F$14,"M")&amp;"м."&amp;DATEDIF(J91,$F$14,"MD")&amp;"д.",
   DATEDIF(J91,$F$14,"Y")&amp;"р."&amp;DATEDIF(J91,$F$14,"YM")&amp;"м."&amp;DATEDIF(J91,$F$14,"MD")&amp;"д."))</f>
        <v>15р.5м.6д.</v>
      </c>
      <c r="M91" s="20"/>
      <c r="N91" s="21" t="str">
        <f>VLOOKUP(_xlfn.CONCAT(C91," ",D91," ",E91),Відділи!$B$2:$C$101,2,0)</f>
        <v>Фінансовий відділ</v>
      </c>
      <c r="O91" s="4" t="str">
        <f t="shared" si="14"/>
        <v/>
      </c>
      <c r="P91" s="1"/>
      <c r="Q91" s="1"/>
      <c r="R91" s="1"/>
      <c r="S91" s="1"/>
    </row>
    <row r="92" spans="1:19" ht="14.25" customHeight="1">
      <c r="A92" s="1"/>
      <c r="B92" s="8">
        <v>91</v>
      </c>
      <c r="C92" s="14" t="s">
        <v>344</v>
      </c>
      <c r="D92" s="14" t="s">
        <v>169</v>
      </c>
      <c r="E92" s="14" t="s">
        <v>175</v>
      </c>
      <c r="F92" s="15">
        <v>22944</v>
      </c>
      <c r="G92" s="9" t="str">
        <f t="shared" si="15"/>
        <v>чоловіча</v>
      </c>
      <c r="H92" s="9">
        <f t="shared" si="16"/>
        <v>52</v>
      </c>
      <c r="I92" s="9" t="str">
        <f t="shared" si="17"/>
        <v>ні</v>
      </c>
      <c r="J92" s="15">
        <v>42265</v>
      </c>
      <c r="K92" s="15">
        <v>43794</v>
      </c>
      <c r="L92" s="9" t="str">
        <f t="shared" si="18"/>
        <v>4р.2м.7д.</v>
      </c>
      <c r="M92" s="20" t="s">
        <v>43</v>
      </c>
      <c r="N92" s="21" t="str">
        <f>VLOOKUP(_xlfn.CONCAT(C92," ",D92," ",E92),Відділи!$B$2:$C$101,2,0)</f>
        <v>Фінансовий відділ</v>
      </c>
      <c r="O92" s="4">
        <f t="shared" si="14"/>
        <v>57</v>
      </c>
      <c r="P92" s="1"/>
      <c r="Q92" s="1"/>
      <c r="R92" s="1"/>
      <c r="S92" s="1"/>
    </row>
    <row r="93" spans="1:19" ht="14.25" customHeight="1">
      <c r="A93" s="1"/>
      <c r="B93" s="8">
        <v>93</v>
      </c>
      <c r="C93" s="14" t="s">
        <v>348</v>
      </c>
      <c r="D93" s="14" t="s">
        <v>206</v>
      </c>
      <c r="E93" s="14" t="s">
        <v>299</v>
      </c>
      <c r="F93" s="15">
        <v>32729</v>
      </c>
      <c r="G93" s="9" t="str">
        <f t="shared" si="15"/>
        <v>чоловіча</v>
      </c>
      <c r="H93" s="9">
        <f t="shared" si="16"/>
        <v>23</v>
      </c>
      <c r="I93" s="9" t="str">
        <f t="shared" si="17"/>
        <v>ні</v>
      </c>
      <c r="J93" s="15">
        <v>41242</v>
      </c>
      <c r="K93" s="15"/>
      <c r="L93" s="9" t="str">
        <f t="shared" si="18"/>
        <v>10р.1м.3д.</v>
      </c>
      <c r="M93" s="20"/>
      <c r="N93" s="21" t="str">
        <f>VLOOKUP(_xlfn.CONCAT(C93," ",D93," ",E93),Відділи!$B$2:$C$101,2,0)</f>
        <v>Фінансовий відділ</v>
      </c>
      <c r="O93" s="4" t="str">
        <f t="shared" si="14"/>
        <v/>
      </c>
      <c r="P93" s="1"/>
      <c r="Q93" s="1"/>
      <c r="R93" s="1"/>
      <c r="S93" s="1"/>
    </row>
    <row r="94" spans="1:19" ht="14.25" customHeight="1">
      <c r="A94" s="1"/>
      <c r="B94" s="8">
        <v>17</v>
      </c>
      <c r="C94" s="14" t="s">
        <v>197</v>
      </c>
      <c r="D94" s="14" t="s">
        <v>198</v>
      </c>
      <c r="E94" s="14" t="s">
        <v>199</v>
      </c>
      <c r="F94" s="15">
        <v>19544</v>
      </c>
      <c r="G94" s="9" t="str">
        <f t="shared" si="15"/>
        <v>жіноча</v>
      </c>
      <c r="H94" s="9">
        <f t="shared" si="16"/>
        <v>55</v>
      </c>
      <c r="I94" s="9" t="str">
        <f t="shared" si="17"/>
        <v>ні</v>
      </c>
      <c r="J94" s="15">
        <v>39802</v>
      </c>
      <c r="K94" s="15">
        <v>43071</v>
      </c>
      <c r="L94" s="9" t="str">
        <f t="shared" si="18"/>
        <v>8р.11м.12д.</v>
      </c>
      <c r="M94" s="20" t="s">
        <v>43</v>
      </c>
      <c r="N94" s="21" t="str">
        <f>VLOOKUP(_xlfn.CONCAT(C94," ",D94," ",E94),Відділи!$B$2:$C$101,2,0)</f>
        <v>Фінансовий відділ</v>
      </c>
      <c r="O94" s="4">
        <f t="shared" si="14"/>
        <v>64</v>
      </c>
      <c r="P94" s="1"/>
      <c r="Q94" s="1"/>
      <c r="R94" s="1"/>
      <c r="S94" s="1"/>
    </row>
    <row r="95" spans="1:19" ht="14.25" customHeight="1">
      <c r="A95" s="1"/>
      <c r="B95" s="8">
        <v>70</v>
      </c>
      <c r="C95" s="14" t="s">
        <v>306</v>
      </c>
      <c r="D95" s="14" t="s">
        <v>219</v>
      </c>
      <c r="E95" s="14" t="s">
        <v>307</v>
      </c>
      <c r="F95" s="15">
        <v>27048</v>
      </c>
      <c r="G95" s="9" t="str">
        <f t="shared" si="15"/>
        <v>жіноча</v>
      </c>
      <c r="H95" s="9">
        <f t="shared" si="16"/>
        <v>35</v>
      </c>
      <c r="I95" s="9" t="str">
        <f t="shared" si="17"/>
        <v>ні</v>
      </c>
      <c r="J95" s="15">
        <v>40026</v>
      </c>
      <c r="K95" s="15">
        <v>41960</v>
      </c>
      <c r="L95" s="9" t="str">
        <f t="shared" si="18"/>
        <v>5р.3м.16д.</v>
      </c>
      <c r="M95" s="20" t="s">
        <v>49</v>
      </c>
      <c r="N95" s="21" t="str">
        <f>VLOOKUP(_xlfn.CONCAT(C95," ",D95," ",E95),Відділи!$B$2:$C$101,2,0)</f>
        <v>Фінансовий відділ</v>
      </c>
      <c r="O95" s="4">
        <f t="shared" si="14"/>
        <v>40</v>
      </c>
      <c r="P95" s="1"/>
      <c r="Q95" s="1"/>
      <c r="R95" s="1"/>
      <c r="S95" s="1"/>
    </row>
    <row r="96" spans="1:19" ht="14.25" customHeight="1">
      <c r="A96" s="1"/>
      <c r="B96" s="8">
        <v>10</v>
      </c>
      <c r="C96" s="14" t="s">
        <v>178</v>
      </c>
      <c r="D96" s="14" t="s">
        <v>179</v>
      </c>
      <c r="E96" s="14" t="s">
        <v>180</v>
      </c>
      <c r="F96" s="15">
        <v>20291</v>
      </c>
      <c r="G96" s="9" t="str">
        <f t="shared" si="15"/>
        <v>чоловіча</v>
      </c>
      <c r="H96" s="9">
        <f t="shared" si="16"/>
        <v>59</v>
      </c>
      <c r="I96" s="9" t="str">
        <f t="shared" si="17"/>
        <v>ні</v>
      </c>
      <c r="J96" s="15">
        <v>42009</v>
      </c>
      <c r="K96" s="15"/>
      <c r="L96" s="9" t="str">
        <f t="shared" si="18"/>
        <v>7р.11м.27д.</v>
      </c>
      <c r="M96" s="20"/>
      <c r="N96" s="21" t="str">
        <f>VLOOKUP(_xlfn.CONCAT(C96," ",D96," ",E96),Відділи!$B$2:$C$101,2,0)</f>
        <v>Фінансовий відділ</v>
      </c>
      <c r="O96" s="4" t="str">
        <f t="shared" si="14"/>
        <v/>
      </c>
      <c r="P96" s="1"/>
      <c r="Q96" s="1"/>
      <c r="R96" s="1"/>
      <c r="S96" s="1"/>
    </row>
    <row r="97" spans="1:19" ht="14.25" customHeight="1">
      <c r="A97" s="1"/>
      <c r="B97" s="8">
        <v>75</v>
      </c>
      <c r="C97" s="14" t="s">
        <v>316</v>
      </c>
      <c r="D97" s="14" t="s">
        <v>219</v>
      </c>
      <c r="E97" s="14" t="s">
        <v>194</v>
      </c>
      <c r="F97" s="15">
        <v>16300</v>
      </c>
      <c r="G97" s="9" t="str">
        <f t="shared" si="15"/>
        <v>жіноча</v>
      </c>
      <c r="H97" s="9">
        <f t="shared" si="16"/>
        <v>62</v>
      </c>
      <c r="I97" s="9" t="str">
        <f t="shared" si="17"/>
        <v>так</v>
      </c>
      <c r="J97" s="15">
        <v>39225</v>
      </c>
      <c r="K97" s="15">
        <v>42975</v>
      </c>
      <c r="L97" s="9" t="str">
        <f t="shared" si="18"/>
        <v>10р.3м.5д.</v>
      </c>
      <c r="M97" s="20" t="s">
        <v>49</v>
      </c>
      <c r="N97" s="21" t="str">
        <f>VLOOKUP(_xlfn.CONCAT(C97," ",D97," ",E97),Відділи!$B$2:$C$101,2,0)</f>
        <v>Фінансовий відділ</v>
      </c>
      <c r="O97" s="4">
        <f t="shared" si="14"/>
        <v>73</v>
      </c>
      <c r="P97" s="1"/>
      <c r="Q97" s="1"/>
      <c r="R97" s="1"/>
      <c r="S97" s="1"/>
    </row>
    <row r="98" spans="1:19" ht="14.25" customHeight="1">
      <c r="A98" s="1"/>
      <c r="B98" s="8">
        <v>49</v>
      </c>
      <c r="C98" s="14" t="s">
        <v>268</v>
      </c>
      <c r="D98" s="14" t="s">
        <v>269</v>
      </c>
      <c r="E98" s="14" t="s">
        <v>270</v>
      </c>
      <c r="F98" s="15">
        <v>33585</v>
      </c>
      <c r="G98" s="9" t="str">
        <f t="shared" si="15"/>
        <v>жіноча</v>
      </c>
      <c r="H98" s="9">
        <f t="shared" si="16"/>
        <v>16</v>
      </c>
      <c r="I98" s="9" t="str">
        <f t="shared" si="17"/>
        <v>ні</v>
      </c>
      <c r="J98" s="15">
        <v>39578</v>
      </c>
      <c r="K98" s="15">
        <v>41682</v>
      </c>
      <c r="L98" s="9" t="str">
        <f t="shared" si="18"/>
        <v>5р.9м.2д.</v>
      </c>
      <c r="M98" s="20" t="s">
        <v>43</v>
      </c>
      <c r="N98" s="21" t="str">
        <f>VLOOKUP(_xlfn.CONCAT(C98," ",D98," ",E98),Відділи!$B$2:$C$101,2,0)</f>
        <v>Фінансовий відділ</v>
      </c>
      <c r="O98" s="4">
        <f t="shared" si="14"/>
        <v>22</v>
      </c>
      <c r="P98" s="1"/>
      <c r="Q98" s="1"/>
      <c r="R98" s="1"/>
      <c r="S98" s="1"/>
    </row>
    <row r="99" spans="1:19" ht="14.25" customHeight="1">
      <c r="A99" s="1"/>
      <c r="B99" s="8">
        <v>88</v>
      </c>
      <c r="C99" s="14" t="s">
        <v>340</v>
      </c>
      <c r="D99" s="14" t="s">
        <v>244</v>
      </c>
      <c r="E99" s="14" t="s">
        <v>177</v>
      </c>
      <c r="F99" s="15">
        <v>26695</v>
      </c>
      <c r="G99" s="9" t="str">
        <f t="shared" si="15"/>
        <v>чоловіча</v>
      </c>
      <c r="H99" s="9">
        <f t="shared" si="16"/>
        <v>36</v>
      </c>
      <c r="I99" s="9" t="str">
        <f t="shared" si="17"/>
        <v>ні</v>
      </c>
      <c r="J99" s="15">
        <v>40090</v>
      </c>
      <c r="K99" s="15">
        <v>44005</v>
      </c>
      <c r="L99" s="9" t="str">
        <f t="shared" si="18"/>
        <v>10р.8м.19д.</v>
      </c>
      <c r="M99" s="20" t="s">
        <v>49</v>
      </c>
      <c r="N99" s="21" t="str">
        <f>VLOOKUP(_xlfn.CONCAT(C99," ",D99," ",E99),Відділи!$B$2:$C$101,2,0)</f>
        <v>Фінансовий відділ</v>
      </c>
      <c r="O99" s="4">
        <f t="shared" si="14"/>
        <v>47</v>
      </c>
      <c r="P99" s="1"/>
      <c r="Q99" s="1"/>
      <c r="R99" s="1"/>
      <c r="S99" s="1"/>
    </row>
    <row r="100" spans="1:19" ht="14.25" customHeight="1">
      <c r="A100" s="1"/>
      <c r="B100" s="8">
        <v>52</v>
      </c>
      <c r="C100" s="14" t="s">
        <v>276</v>
      </c>
      <c r="D100" s="14" t="s">
        <v>172</v>
      </c>
      <c r="E100" s="14" t="s">
        <v>233</v>
      </c>
      <c r="F100" s="15">
        <v>22881</v>
      </c>
      <c r="G100" s="9" t="str">
        <f t="shared" si="15"/>
        <v>чоловіча</v>
      </c>
      <c r="H100" s="9">
        <f t="shared" si="16"/>
        <v>52</v>
      </c>
      <c r="I100" s="9" t="str">
        <f t="shared" si="17"/>
        <v>ні</v>
      </c>
      <c r="J100" s="15">
        <v>42073</v>
      </c>
      <c r="K100" s="15"/>
      <c r="L100" s="9" t="str">
        <f t="shared" si="18"/>
        <v>7р.9м.22д.</v>
      </c>
      <c r="M100" s="20"/>
      <c r="N100" s="21" t="str">
        <f>VLOOKUP(_xlfn.CONCAT(C100," ",D100," ",E100),Відділи!$B$2:$C$101,2,0)</f>
        <v>Фінансовий відділ</v>
      </c>
      <c r="O100" s="4" t="str">
        <f t="shared" si="14"/>
        <v/>
      </c>
      <c r="P100" s="1"/>
      <c r="Q100" s="1"/>
      <c r="R100" s="1"/>
      <c r="S100" s="1"/>
    </row>
    <row r="101" spans="1:19" ht="14.25" customHeight="1">
      <c r="A101" s="1"/>
      <c r="B101" s="8">
        <v>28</v>
      </c>
      <c r="C101" s="14" t="s">
        <v>224</v>
      </c>
      <c r="D101" s="14" t="s">
        <v>225</v>
      </c>
      <c r="E101" s="14" t="s">
        <v>161</v>
      </c>
      <c r="F101" s="15">
        <v>27967</v>
      </c>
      <c r="G101" s="9" t="str">
        <f t="shared" si="15"/>
        <v>жіноча</v>
      </c>
      <c r="H101" s="9">
        <f t="shared" si="16"/>
        <v>31</v>
      </c>
      <c r="I101" s="9" t="str">
        <f t="shared" si="17"/>
        <v>ні</v>
      </c>
      <c r="J101" s="15">
        <v>39353</v>
      </c>
      <c r="K101" s="15"/>
      <c r="L101" s="9" t="str">
        <f t="shared" si="18"/>
        <v>15р.3м.4д.</v>
      </c>
      <c r="M101" s="20"/>
      <c r="N101" s="21" t="str">
        <f>VLOOKUP(_xlfn.CONCAT(C101," ",D101," ",E101),Відділи!$B$2:$C$101,2,0)</f>
        <v>Фінансовий відділ</v>
      </c>
      <c r="O101" s="4" t="str">
        <f t="shared" si="14"/>
        <v/>
      </c>
      <c r="P101" s="1"/>
      <c r="Q101" s="1"/>
      <c r="R101" s="1"/>
      <c r="S101" s="1"/>
    </row>
    <row r="102" spans="1:19" ht="14.25" customHeight="1">
      <c r="A102" s="1"/>
      <c r="B102" s="8">
        <v>80</v>
      </c>
      <c r="C102" s="14" t="s">
        <v>325</v>
      </c>
      <c r="D102" s="14" t="s">
        <v>206</v>
      </c>
      <c r="E102" s="14" t="s">
        <v>170</v>
      </c>
      <c r="F102" s="15">
        <v>27196</v>
      </c>
      <c r="G102" s="9" t="str">
        <f t="shared" si="15"/>
        <v>чоловіча</v>
      </c>
      <c r="H102" s="9">
        <f t="shared" si="16"/>
        <v>34</v>
      </c>
      <c r="I102" s="9" t="str">
        <f t="shared" si="17"/>
        <v>ні</v>
      </c>
      <c r="J102" s="15">
        <v>39834</v>
      </c>
      <c r="K102" s="15">
        <v>41200</v>
      </c>
      <c r="L102" s="9" t="str">
        <f t="shared" si="18"/>
        <v>3р.8м.27д.</v>
      </c>
      <c r="M102" s="20" t="s">
        <v>43</v>
      </c>
      <c r="N102" s="21" t="str">
        <f>VLOOKUP(_xlfn.CONCAT(C102," ",D102," ",E102),Відділи!$B$2:$C$101,2,0)</f>
        <v>Фінансовий відділ</v>
      </c>
      <c r="O102" s="4">
        <f t="shared" si="14"/>
        <v>38</v>
      </c>
      <c r="P102" s="1"/>
      <c r="Q102" s="1"/>
      <c r="R102" s="1"/>
      <c r="S102" s="1"/>
    </row>
    <row r="103" spans="1:19" ht="14.25" customHeight="1">
      <c r="A103" s="1"/>
      <c r="B103" s="8">
        <v>35</v>
      </c>
      <c r="C103" s="14" t="s">
        <v>238</v>
      </c>
      <c r="D103" s="14" t="s">
        <v>225</v>
      </c>
      <c r="E103" s="14" t="s">
        <v>161</v>
      </c>
      <c r="F103" s="15">
        <v>25976</v>
      </c>
      <c r="G103" s="9" t="str">
        <f t="shared" si="15"/>
        <v>жіноча</v>
      </c>
      <c r="H103" s="9">
        <f t="shared" si="16"/>
        <v>39</v>
      </c>
      <c r="I103" s="9" t="str">
        <f t="shared" si="17"/>
        <v>ні</v>
      </c>
      <c r="J103" s="15">
        <v>40249</v>
      </c>
      <c r="K103" s="15">
        <v>43372</v>
      </c>
      <c r="L103" s="9" t="str">
        <f t="shared" si="18"/>
        <v>8р.6м.17д.</v>
      </c>
      <c r="M103" s="20" t="s">
        <v>43</v>
      </c>
      <c r="N103" s="21" t="str">
        <f>VLOOKUP(_xlfn.CONCAT(C103," ",D103," ",E103),Відділи!$B$2:$C$101,2,0)</f>
        <v>Фінансовий відділ</v>
      </c>
      <c r="O103" s="4">
        <f t="shared" si="14"/>
        <v>47</v>
      </c>
      <c r="P103" s="1"/>
      <c r="Q103" s="1"/>
      <c r="R103" s="1"/>
      <c r="S103" s="1"/>
    </row>
    <row r="104" spans="1:19" ht="14.25" customHeight="1">
      <c r="A104" s="1"/>
      <c r="B104" s="8">
        <v>60</v>
      </c>
      <c r="C104" s="14" t="s">
        <v>291</v>
      </c>
      <c r="D104" s="14" t="s">
        <v>256</v>
      </c>
      <c r="E104" s="14" t="s">
        <v>204</v>
      </c>
      <c r="F104" s="15">
        <v>24551</v>
      </c>
      <c r="G104" s="9" t="str">
        <f t="shared" si="15"/>
        <v>чоловіча</v>
      </c>
      <c r="H104" s="9">
        <f t="shared" si="16"/>
        <v>44</v>
      </c>
      <c r="I104" s="9" t="str">
        <f t="shared" si="17"/>
        <v>ні</v>
      </c>
      <c r="J104" s="15">
        <v>40986</v>
      </c>
      <c r="K104" s="15"/>
      <c r="L104" s="9" t="str">
        <f t="shared" si="18"/>
        <v>10р.9м.14д.</v>
      </c>
      <c r="M104" s="20"/>
      <c r="N104" s="21" t="str">
        <f>VLOOKUP(_xlfn.CONCAT(C104," ",D104," ",E104),Відділи!$B$2:$C$101,2,0)</f>
        <v>Фінансовий відділ</v>
      </c>
      <c r="O104" s="4" t="str">
        <f t="shared" si="14"/>
        <v/>
      </c>
      <c r="P104" s="1"/>
      <c r="Q104" s="1"/>
      <c r="R104" s="1"/>
      <c r="S104" s="1"/>
    </row>
    <row r="105" spans="1:19" ht="14.25" customHeight="1">
      <c r="A105" s="1"/>
      <c r="B105" s="8">
        <v>87</v>
      </c>
      <c r="C105" s="14" t="s">
        <v>338</v>
      </c>
      <c r="D105" s="14" t="s">
        <v>339</v>
      </c>
      <c r="E105" s="14" t="s">
        <v>186</v>
      </c>
      <c r="F105" s="15">
        <v>20471</v>
      </c>
      <c r="G105" s="9" t="str">
        <f t="shared" si="15"/>
        <v>жіноча</v>
      </c>
      <c r="H105" s="9">
        <f t="shared" si="16"/>
        <v>51</v>
      </c>
      <c r="I105" s="9" t="str">
        <f t="shared" si="17"/>
        <v>ні</v>
      </c>
      <c r="J105" s="15">
        <v>39129</v>
      </c>
      <c r="K105" s="15"/>
      <c r="L105" s="9" t="str">
        <f t="shared" si="18"/>
        <v>15р.10м.16д.</v>
      </c>
      <c r="M105" s="20"/>
      <c r="N105" s="21" t="str">
        <f>VLOOKUP(_xlfn.CONCAT(C105," ",D105," ",E105),Відділи!$B$2:$C$101,2,0)</f>
        <v>Фінансовий відділ</v>
      </c>
      <c r="O105" s="4" t="str">
        <f t="shared" si="14"/>
        <v/>
      </c>
      <c r="P105" s="1"/>
      <c r="Q105" s="1"/>
      <c r="R105" s="1"/>
      <c r="S105" s="1"/>
    </row>
    <row r="106" spans="1:19" ht="14.25" customHeight="1">
      <c r="A106" s="1"/>
      <c r="B106" s="8">
        <v>63</v>
      </c>
      <c r="C106" s="14" t="s">
        <v>296</v>
      </c>
      <c r="D106" s="14" t="s">
        <v>297</v>
      </c>
      <c r="E106" s="14" t="s">
        <v>158</v>
      </c>
      <c r="F106" s="15">
        <v>23923</v>
      </c>
      <c r="G106" s="9" t="str">
        <f t="shared" si="15"/>
        <v>чоловіча</v>
      </c>
      <c r="H106" s="9">
        <f t="shared" si="16"/>
        <v>42</v>
      </c>
      <c r="I106" s="9" t="str">
        <f t="shared" si="17"/>
        <v>ні</v>
      </c>
      <c r="J106" s="15">
        <v>39481</v>
      </c>
      <c r="K106" s="15"/>
      <c r="L106" s="9" t="str">
        <f t="shared" si="18"/>
        <v>14р.10м.29д.</v>
      </c>
      <c r="M106" s="20"/>
      <c r="N106" s="21" t="str">
        <f>VLOOKUP(_xlfn.CONCAT(C106," ",D106," ",E106),Відділи!$B$2:$C$101,2,0)</f>
        <v>Юридичний відділ</v>
      </c>
      <c r="O106" s="4" t="str">
        <f t="shared" si="14"/>
        <v/>
      </c>
      <c r="P106" s="1"/>
      <c r="Q106" s="1"/>
      <c r="R106" s="1"/>
      <c r="S106" s="1"/>
    </row>
    <row r="107" spans="1:19" ht="14.25" customHeight="1">
      <c r="A107" s="1"/>
      <c r="B107" s="8">
        <v>16</v>
      </c>
      <c r="C107" s="14" t="s">
        <v>195</v>
      </c>
      <c r="D107" s="14" t="s">
        <v>172</v>
      </c>
      <c r="E107" s="14" t="s">
        <v>196</v>
      </c>
      <c r="F107" s="15">
        <v>32095</v>
      </c>
      <c r="G107" s="9" t="str">
        <f t="shared" si="15"/>
        <v>чоловіча</v>
      </c>
      <c r="H107" s="9">
        <f t="shared" si="16"/>
        <v>27</v>
      </c>
      <c r="I107" s="9" t="str">
        <f t="shared" si="17"/>
        <v>ні</v>
      </c>
      <c r="J107" s="15">
        <v>42169</v>
      </c>
      <c r="K107" s="15"/>
      <c r="L107" s="9" t="str">
        <f t="shared" si="18"/>
        <v>7р.6м.18д.</v>
      </c>
      <c r="M107" s="20"/>
      <c r="N107" s="21" t="str">
        <f>VLOOKUP(_xlfn.CONCAT(C107," ",D107," ",E107),Відділи!$B$2:$C$101,2,0)</f>
        <v>Юридичний відділ</v>
      </c>
      <c r="O107" s="4" t="str">
        <f t="shared" si="14"/>
        <v/>
      </c>
      <c r="P107" s="1"/>
      <c r="Q107" s="1"/>
      <c r="R107" s="1"/>
      <c r="S107" s="1"/>
    </row>
    <row r="108" spans="1:19" ht="14.25" customHeight="1">
      <c r="A108" s="1"/>
      <c r="B108" s="8">
        <v>98</v>
      </c>
      <c r="C108" s="14" t="s">
        <v>355</v>
      </c>
      <c r="D108" s="14" t="s">
        <v>356</v>
      </c>
      <c r="E108" s="14" t="s">
        <v>177</v>
      </c>
      <c r="F108" s="15">
        <v>23390</v>
      </c>
      <c r="G108" s="9" t="str">
        <f t="shared" si="15"/>
        <v>чоловіча</v>
      </c>
      <c r="H108" s="9">
        <f t="shared" si="16"/>
        <v>51</v>
      </c>
      <c r="I108" s="9" t="str">
        <f t="shared" si="17"/>
        <v>ні</v>
      </c>
      <c r="J108" s="15">
        <v>42201</v>
      </c>
      <c r="K108" s="15">
        <v>42384</v>
      </c>
      <c r="L108" s="9" t="str">
        <f t="shared" si="18"/>
        <v>5м.30д.</v>
      </c>
      <c r="M108" s="20" t="s">
        <v>41</v>
      </c>
      <c r="N108" s="21" t="str">
        <f>VLOOKUP(_xlfn.CONCAT(C108," ",D108," ",E108),Відділи!$B$2:$C$101,2,0)</f>
        <v>Юридичний відділ</v>
      </c>
      <c r="O108" s="4">
        <f t="shared" si="14"/>
        <v>52</v>
      </c>
      <c r="P108" s="1"/>
      <c r="Q108" s="1"/>
      <c r="R108" s="1"/>
      <c r="S108" s="1"/>
    </row>
    <row r="109" spans="1:19" ht="14.25" customHeight="1">
      <c r="A109" s="1"/>
      <c r="B109" s="8">
        <v>82</v>
      </c>
      <c r="C109" s="14" t="s">
        <v>328</v>
      </c>
      <c r="D109" s="14" t="s">
        <v>284</v>
      </c>
      <c r="E109" s="14" t="s">
        <v>329</v>
      </c>
      <c r="F109" s="15">
        <v>32509</v>
      </c>
      <c r="G109" s="9" t="str">
        <f t="shared" si="15"/>
        <v>чоловіча</v>
      </c>
      <c r="H109" s="9">
        <f t="shared" si="16"/>
        <v>19</v>
      </c>
      <c r="I109" s="9" t="str">
        <f t="shared" si="17"/>
        <v>ні</v>
      </c>
      <c r="J109" s="15">
        <v>39642</v>
      </c>
      <c r="K109" s="15"/>
      <c r="L109" s="9" t="str">
        <f t="shared" si="18"/>
        <v>14р.5м.19д.</v>
      </c>
      <c r="M109" s="20"/>
      <c r="N109" s="21" t="str">
        <f>VLOOKUP(_xlfn.CONCAT(C109," ",D109," ",E109),Відділи!$B$2:$C$101,2,0)</f>
        <v>Юридичний відділ</v>
      </c>
      <c r="O109" s="4" t="str">
        <f t="shared" si="14"/>
        <v/>
      </c>
      <c r="P109" s="1"/>
      <c r="Q109" s="1"/>
      <c r="R109" s="1"/>
      <c r="S109" s="1"/>
    </row>
    <row r="110" spans="1:19" ht="14.25" customHeight="1">
      <c r="A110" s="1"/>
      <c r="B110" s="8">
        <v>79</v>
      </c>
      <c r="C110" s="14" t="s">
        <v>322</v>
      </c>
      <c r="D110" s="14" t="s">
        <v>323</v>
      </c>
      <c r="E110" s="14" t="s">
        <v>324</v>
      </c>
      <c r="F110" s="15">
        <v>20023</v>
      </c>
      <c r="G110" s="9" t="str">
        <f t="shared" si="15"/>
        <v>жіноча</v>
      </c>
      <c r="H110" s="9">
        <f t="shared" si="16"/>
        <v>60</v>
      </c>
      <c r="I110" s="9" t="str">
        <f t="shared" si="17"/>
        <v>так</v>
      </c>
      <c r="J110" s="15">
        <v>42137</v>
      </c>
      <c r="K110" s="15">
        <v>43917</v>
      </c>
      <c r="L110" s="9" t="str">
        <f t="shared" si="18"/>
        <v>4р.10м.14д.</v>
      </c>
      <c r="M110" s="20" t="s">
        <v>43</v>
      </c>
      <c r="N110" s="21" t="str">
        <f>VLOOKUP(_xlfn.CONCAT(C110," ",D110," ",E110),Відділи!$B$2:$C$101,2,0)</f>
        <v>Юридичний відділ</v>
      </c>
      <c r="O110" s="4">
        <f t="shared" si="14"/>
        <v>65</v>
      </c>
      <c r="P110" s="1"/>
      <c r="Q110" s="1"/>
      <c r="R110" s="1"/>
      <c r="S110" s="1"/>
    </row>
    <row r="111" spans="1:19" ht="14.25" customHeight="1">
      <c r="A111" s="1"/>
      <c r="B111" s="8">
        <v>50</v>
      </c>
      <c r="C111" s="14" t="s">
        <v>271</v>
      </c>
      <c r="D111" s="14" t="s">
        <v>272</v>
      </c>
      <c r="E111" s="14" t="s">
        <v>273</v>
      </c>
      <c r="F111" s="15">
        <v>30177</v>
      </c>
      <c r="G111" s="9" t="str">
        <f t="shared" si="15"/>
        <v>жіноча</v>
      </c>
      <c r="H111" s="9">
        <f t="shared" si="16"/>
        <v>27</v>
      </c>
      <c r="I111" s="9" t="str">
        <f t="shared" si="17"/>
        <v>ні</v>
      </c>
      <c r="J111" s="15">
        <v>40345</v>
      </c>
      <c r="K111" s="15">
        <v>40593</v>
      </c>
      <c r="L111" s="9" t="str">
        <f t="shared" si="18"/>
        <v>8м.3д.</v>
      </c>
      <c r="M111" s="20" t="s">
        <v>60</v>
      </c>
      <c r="N111" s="21" t="str">
        <f>VLOOKUP(_xlfn.CONCAT(C111," ",D111," ",E111),Відділи!$B$2:$C$101,2,0)</f>
        <v>Юридичний відділ</v>
      </c>
      <c r="O111" s="4">
        <f t="shared" si="14"/>
        <v>28</v>
      </c>
      <c r="P111" s="1"/>
      <c r="Q111" s="1"/>
      <c r="R111" s="1"/>
      <c r="S111" s="1"/>
    </row>
    <row r="112" spans="1:19" ht="14.25" customHeight="1">
      <c r="A112" s="1"/>
      <c r="B112" s="8">
        <v>12</v>
      </c>
      <c r="C112" s="14" t="s">
        <v>184</v>
      </c>
      <c r="D112" s="14" t="s">
        <v>185</v>
      </c>
      <c r="E112" s="14" t="s">
        <v>186</v>
      </c>
      <c r="F112" s="15">
        <v>24021</v>
      </c>
      <c r="G112" s="9" t="str">
        <f t="shared" si="15"/>
        <v>жіноча</v>
      </c>
      <c r="H112" s="9">
        <f t="shared" si="16"/>
        <v>41</v>
      </c>
      <c r="I112" s="9" t="str">
        <f t="shared" si="17"/>
        <v>ні</v>
      </c>
      <c r="J112" s="15">
        <v>39193</v>
      </c>
      <c r="K112" s="15"/>
      <c r="L112" s="9" t="str">
        <f t="shared" si="18"/>
        <v>15р.8м.11д.</v>
      </c>
      <c r="M112" s="20"/>
      <c r="N112" s="21" t="str">
        <f>VLOOKUP(_xlfn.CONCAT(C112," ",D112," ",E112),Відділи!$B$2:$C$101,2,0)</f>
        <v>Юридичний відділ</v>
      </c>
      <c r="O112" s="4" t="str">
        <f t="shared" si="14"/>
        <v/>
      </c>
      <c r="P112" s="1"/>
      <c r="Q112" s="1"/>
      <c r="R112" s="1"/>
      <c r="S112" s="1"/>
    </row>
    <row r="113" spans="1:19" ht="14.25" customHeight="1">
      <c r="A113" s="1"/>
      <c r="B113" s="8">
        <v>27</v>
      </c>
      <c r="C113" s="14" t="s">
        <v>221</v>
      </c>
      <c r="D113" s="14" t="s">
        <v>222</v>
      </c>
      <c r="E113" s="14" t="s">
        <v>223</v>
      </c>
      <c r="F113" s="15">
        <v>26432</v>
      </c>
      <c r="G113" s="9" t="str">
        <f t="shared" si="15"/>
        <v>чоловіча</v>
      </c>
      <c r="H113" s="9">
        <f t="shared" si="16"/>
        <v>35</v>
      </c>
      <c r="I113" s="9" t="str">
        <f t="shared" si="17"/>
        <v>ні</v>
      </c>
      <c r="J113" s="15">
        <v>39449</v>
      </c>
      <c r="K113" s="15">
        <v>39562</v>
      </c>
      <c r="L113" s="9" t="str">
        <f t="shared" si="18"/>
        <v>3м.22д.</v>
      </c>
      <c r="M113" s="20" t="s">
        <v>64</v>
      </c>
      <c r="N113" s="21" t="str">
        <f>VLOOKUP(_xlfn.CONCAT(C113," ",D113," ",E113),Відділи!$B$2:$C$101,2,0)</f>
        <v>Юридичний відділ</v>
      </c>
      <c r="O113" s="4">
        <f t="shared" si="14"/>
        <v>35</v>
      </c>
      <c r="P113" s="1"/>
      <c r="Q113" s="1"/>
      <c r="R113" s="1"/>
      <c r="S113" s="1"/>
    </row>
    <row r="114" spans="1:19" ht="14.25" customHeight="1">
      <c r="A114" s="1"/>
      <c r="B114" s="8">
        <v>38</v>
      </c>
      <c r="C114" s="14" t="s">
        <v>243</v>
      </c>
      <c r="D114" s="14" t="s">
        <v>244</v>
      </c>
      <c r="E114" s="14" t="s">
        <v>245</v>
      </c>
      <c r="F114" s="15">
        <v>30910</v>
      </c>
      <c r="G114" s="9" t="str">
        <f t="shared" si="15"/>
        <v>чоловіча</v>
      </c>
      <c r="H114" s="9">
        <f t="shared" si="16"/>
        <v>26</v>
      </c>
      <c r="I114" s="9" t="str">
        <f t="shared" si="17"/>
        <v>ні</v>
      </c>
      <c r="J114" s="15">
        <v>40633</v>
      </c>
      <c r="K114" s="15"/>
      <c r="L114" s="9" t="str">
        <f t="shared" si="18"/>
        <v>11р.9м.1д.</v>
      </c>
      <c r="M114" s="20"/>
      <c r="N114" s="21" t="str">
        <f>VLOOKUP(_xlfn.CONCAT(C114," ",D114," ",E114),Відділи!$B$2:$C$101,2,0)</f>
        <v>Юридичний відділ</v>
      </c>
      <c r="O114" s="4" t="str">
        <f t="shared" si="14"/>
        <v/>
      </c>
      <c r="P114" s="1"/>
      <c r="Q114" s="1"/>
      <c r="R114" s="1"/>
      <c r="S114" s="1"/>
    </row>
    <row r="115" spans="1:19" ht="14.25" customHeight="1">
      <c r="A115" s="1"/>
      <c r="B115" s="8">
        <v>81</v>
      </c>
      <c r="C115" s="14" t="s">
        <v>326</v>
      </c>
      <c r="D115" s="14" t="s">
        <v>219</v>
      </c>
      <c r="E115" s="14" t="s">
        <v>327</v>
      </c>
      <c r="F115" s="15">
        <v>32272</v>
      </c>
      <c r="G115" s="9" t="str">
        <f t="shared" si="15"/>
        <v>жіноча</v>
      </c>
      <c r="H115" s="9">
        <f t="shared" si="16"/>
        <v>24</v>
      </c>
      <c r="I115" s="9" t="str">
        <f t="shared" si="17"/>
        <v>ні</v>
      </c>
      <c r="J115" s="15">
        <v>41274</v>
      </c>
      <c r="K115" s="15">
        <v>42178</v>
      </c>
      <c r="L115" s="9" t="str">
        <f t="shared" si="18"/>
        <v>2р.5м.23д.</v>
      </c>
      <c r="M115" s="20" t="s">
        <v>41</v>
      </c>
      <c r="N115" s="21" t="str">
        <f>VLOOKUP(_xlfn.CONCAT(C115," ",D115," ",E115),Відділи!$B$2:$C$101,2,0)</f>
        <v>Юридичний відділ</v>
      </c>
      <c r="O115" s="4">
        <f t="shared" si="14"/>
        <v>27</v>
      </c>
      <c r="P115" s="1"/>
      <c r="Q115" s="1"/>
      <c r="R115" s="1"/>
      <c r="S115" s="1"/>
    </row>
    <row r="116" spans="1:19" ht="14.25" customHeight="1">
      <c r="A116" s="1"/>
      <c r="B116" s="8">
        <v>56</v>
      </c>
      <c r="C116" s="14" t="s">
        <v>285</v>
      </c>
      <c r="D116" s="14" t="s">
        <v>208</v>
      </c>
      <c r="E116" s="14" t="s">
        <v>170</v>
      </c>
      <c r="F116" s="15">
        <v>21987</v>
      </c>
      <c r="G116" s="9" t="str">
        <f t="shared" si="15"/>
        <v>чоловіча</v>
      </c>
      <c r="H116" s="9">
        <f t="shared" si="16"/>
        <v>49</v>
      </c>
      <c r="I116" s="9" t="str">
        <f t="shared" si="17"/>
        <v>ні</v>
      </c>
      <c r="J116" s="15">
        <v>39962</v>
      </c>
      <c r="K116" s="15"/>
      <c r="L116" s="9" t="str">
        <f t="shared" si="18"/>
        <v>13р.7м.3д.</v>
      </c>
      <c r="M116" s="20"/>
      <c r="N116" s="21" t="str">
        <f>VLOOKUP(_xlfn.CONCAT(C116," ",D116," ",E116),Відділи!$B$2:$C$101,2,0)</f>
        <v>Юридичний відділ</v>
      </c>
      <c r="O116" s="4" t="str">
        <f t="shared" si="14"/>
        <v/>
      </c>
      <c r="P116" s="1"/>
      <c r="Q116" s="1"/>
      <c r="R116" s="1"/>
      <c r="S116" s="1"/>
    </row>
    <row r="117" spans="1:19" ht="14.25" customHeight="1">
      <c r="A117" s="1"/>
      <c r="B117" s="8">
        <v>2</v>
      </c>
      <c r="C117" s="14" t="s">
        <v>156</v>
      </c>
      <c r="D117" s="14" t="s">
        <v>157</v>
      </c>
      <c r="E117" s="14" t="s">
        <v>158</v>
      </c>
      <c r="F117" s="15">
        <v>15437</v>
      </c>
      <c r="G117" s="9" t="str">
        <f t="shared" si="15"/>
        <v>чоловіча</v>
      </c>
      <c r="H117" s="9">
        <f t="shared" si="16"/>
        <v>72</v>
      </c>
      <c r="I117" s="9" t="str">
        <f t="shared" si="17"/>
        <v>так</v>
      </c>
      <c r="J117" s="15">
        <v>41849</v>
      </c>
      <c r="K117" s="15">
        <v>42182</v>
      </c>
      <c r="L117" s="9" t="str">
        <f t="shared" si="18"/>
        <v>10м.29д.</v>
      </c>
      <c r="M117" s="20" t="s">
        <v>41</v>
      </c>
      <c r="N117" s="21" t="str">
        <f>VLOOKUP(_xlfn.CONCAT(C117," ",D117," ",E117),Відділи!$B$2:$C$101,2,0)</f>
        <v>Юридичний відділ</v>
      </c>
      <c r="O117" s="4">
        <f t="shared" si="14"/>
        <v>73</v>
      </c>
      <c r="P117" s="1"/>
      <c r="Q117" s="1"/>
      <c r="R117" s="1"/>
      <c r="S117" s="1"/>
    </row>
    <row r="118" spans="1:19" ht="14.25" customHeight="1">
      <c r="A118" s="1"/>
      <c r="B118" s="13"/>
      <c r="C118" s="4"/>
      <c r="D118" s="4"/>
      <c r="E118" s="4"/>
      <c r="F118" s="13"/>
      <c r="G118" s="13"/>
      <c r="H118" s="13"/>
      <c r="I118" s="13"/>
      <c r="J118" s="13"/>
      <c r="K118" s="13"/>
      <c r="L118" s="13"/>
      <c r="M118" s="4"/>
      <c r="N118" s="4"/>
      <c r="O118" s="4"/>
      <c r="P118" s="1"/>
      <c r="Q118" s="1"/>
      <c r="R118" s="1"/>
      <c r="S118" s="1"/>
    </row>
    <row r="119" spans="1:19" ht="14.25" customHeight="1">
      <c r="A119" s="1"/>
      <c r="B119" s="1"/>
      <c r="C119" s="1"/>
      <c r="D119" s="4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1:19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1:1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1:19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1:19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1:19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1:19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1:19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1:19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1:19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1:19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1:19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1:1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1:19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1:19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1:19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1:19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1:19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1:19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1:19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1:19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1:19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1:1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1:19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1:19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1:19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1:19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1:19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1:19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1:19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1:19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1:19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1:1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1:19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1:19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1:19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1:19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1:19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1:19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1:19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1:19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1:1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1:19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1:19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1:19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1:19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1:19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1:19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1:19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1:19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1:19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1:1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1:19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1:19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1:19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1:19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1:19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1:19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1:19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1:19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1:19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1:1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1:19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1:19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1:19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1:19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1:19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1:19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1:19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1:19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1:19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1:1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1:19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1:19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1:19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1:19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1:19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1:19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1:19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1:19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1:19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1:1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1:19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1:19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1:19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1:19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1:19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1:19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1:19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1:19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1:19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1: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1:19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1:19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1:19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1:19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1:19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1:19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1:19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1:19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1:1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1:19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1:19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1:19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1:19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1:19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1:19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1:19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1:19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1:19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1:1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1:19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1:19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1:19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1:19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1:19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1:19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1:19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1:1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1:19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1:19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1:19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1:19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1:19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1:19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1:19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1:19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1:1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1:19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1:19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1:19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1:19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1:19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1:19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1:19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1:19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1:1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1:19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1:19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1:19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1:19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1:19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1:19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1:19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1:19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1:19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1:1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1:19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1:19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1:19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1:19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1:19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1:19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1:19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1:19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1:19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1:1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1:19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1:19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1:19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1:19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1:19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1:19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1:19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1:19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1:19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1:1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1:19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1:19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1:19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1:19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1:19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1:19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1:19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1:19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1:19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1:1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1:19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1:19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1:19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1:19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1:19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1:19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1:19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1:19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1:19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1: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1:19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1:19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1:19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1:19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1:19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1:19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1:19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1:19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1:19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1:1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1:19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1:19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1:19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1:19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1:19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1:19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1:19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1:19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1:19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1:1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1:19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1:19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1:19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1:19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1:19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1:19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1:19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1:1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1:19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1:19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1:19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1:19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1:19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1:19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1:19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1:19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1:19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1:19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1:19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1:19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1:19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1:19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1:19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1:19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1:1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1:19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1:19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1:19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1:19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1:19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1:19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1:19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4.25" customHeight="1">
      <c r="D416" s="1"/>
    </row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B19:P117">
    <sortCondition ref="N18:N117"/>
    <sortCondition ref="C18:C117"/>
  </sortState>
  <mergeCells count="30">
    <mergeCell ref="N16:N17"/>
    <mergeCell ref="K11:N11"/>
    <mergeCell ref="B16:B17"/>
    <mergeCell ref="C16:E16"/>
    <mergeCell ref="F16:F17"/>
    <mergeCell ref="G16:G17"/>
    <mergeCell ref="H16:H17"/>
    <mergeCell ref="J16:J17"/>
    <mergeCell ref="K16:K17"/>
    <mergeCell ref="L16:L17"/>
    <mergeCell ref="M16:M17"/>
    <mergeCell ref="C14:E14"/>
    <mergeCell ref="I16:I17"/>
    <mergeCell ref="K12:N12"/>
    <mergeCell ref="B11:F11"/>
    <mergeCell ref="K6:N6"/>
    <mergeCell ref="K7:N7"/>
    <mergeCell ref="B2:E2"/>
    <mergeCell ref="B3:J3"/>
    <mergeCell ref="B4:E4"/>
    <mergeCell ref="K4:N4"/>
    <mergeCell ref="B5:H5"/>
    <mergeCell ref="K5:N5"/>
    <mergeCell ref="B6:H7"/>
    <mergeCell ref="B8:I8"/>
    <mergeCell ref="K8:N8"/>
    <mergeCell ref="B9:E9"/>
    <mergeCell ref="K9:N9"/>
    <mergeCell ref="B10:I10"/>
    <mergeCell ref="K10:N10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000"/>
  <sheetViews>
    <sheetView topLeftCell="A70" workbookViewId="0">
      <selection activeCell="B19" sqref="B19"/>
    </sheetView>
  </sheetViews>
  <sheetFormatPr defaultColWidth="12.6640625" defaultRowHeight="15" customHeight="1"/>
  <cols>
    <col min="1" max="1" width="7.6640625" customWidth="1"/>
    <col min="2" max="2" width="34.33203125" customWidth="1"/>
    <col min="3" max="3" width="16.88671875" customWidth="1"/>
    <col min="4" max="26" width="7.6640625" customWidth="1"/>
  </cols>
  <sheetData>
    <row r="1" spans="2:3" ht="14.25" customHeight="1">
      <c r="B1" s="16" t="s">
        <v>145</v>
      </c>
      <c r="C1" s="17" t="s">
        <v>146</v>
      </c>
    </row>
    <row r="2" spans="2:3" ht="14.25" customHeight="1">
      <c r="B2" s="18" t="s">
        <v>147</v>
      </c>
      <c r="C2" s="19" t="s">
        <v>148</v>
      </c>
    </row>
    <row r="3" spans="2:3" ht="14.25" customHeight="1">
      <c r="B3" s="18" t="s">
        <v>40</v>
      </c>
      <c r="C3" s="19" t="s">
        <v>149</v>
      </c>
    </row>
    <row r="4" spans="2:3" ht="14.25" customHeight="1">
      <c r="B4" s="18" t="s">
        <v>42</v>
      </c>
      <c r="C4" s="19" t="s">
        <v>150</v>
      </c>
    </row>
    <row r="5" spans="2:3" ht="14.25" customHeight="1">
      <c r="B5" s="18" t="s">
        <v>44</v>
      </c>
      <c r="C5" s="19" t="s">
        <v>151</v>
      </c>
    </row>
    <row r="6" spans="2:3" ht="14.25" customHeight="1">
      <c r="B6" s="18" t="s">
        <v>45</v>
      </c>
      <c r="C6" s="19" t="s">
        <v>152</v>
      </c>
    </row>
    <row r="7" spans="2:3" ht="14.25" customHeight="1">
      <c r="B7" s="18" t="s">
        <v>46</v>
      </c>
      <c r="C7" s="19" t="s">
        <v>153</v>
      </c>
    </row>
    <row r="8" spans="2:3" ht="14.25" customHeight="1">
      <c r="B8" s="18" t="s">
        <v>47</v>
      </c>
      <c r="C8" s="19" t="s">
        <v>154</v>
      </c>
    </row>
    <row r="9" spans="2:3" ht="14.25" customHeight="1">
      <c r="B9" s="18" t="s">
        <v>48</v>
      </c>
      <c r="C9" s="19" t="s">
        <v>155</v>
      </c>
    </row>
    <row r="10" spans="2:3" ht="14.25" customHeight="1">
      <c r="B10" s="18" t="s">
        <v>50</v>
      </c>
      <c r="C10" s="19" t="s">
        <v>148</v>
      </c>
    </row>
    <row r="11" spans="2:3" ht="14.25" customHeight="1">
      <c r="B11" s="18" t="s">
        <v>51</v>
      </c>
      <c r="C11" s="19" t="s">
        <v>150</v>
      </c>
    </row>
    <row r="12" spans="2:3" ht="14.25" customHeight="1">
      <c r="B12" s="18" t="s">
        <v>52</v>
      </c>
      <c r="C12" s="19" t="s">
        <v>153</v>
      </c>
    </row>
    <row r="13" spans="2:3" ht="14.25" customHeight="1">
      <c r="B13" s="18" t="s">
        <v>53</v>
      </c>
      <c r="C13" s="19" t="s">
        <v>149</v>
      </c>
    </row>
    <row r="14" spans="2:3" ht="14.25" customHeight="1">
      <c r="B14" s="18" t="s">
        <v>54</v>
      </c>
      <c r="C14" s="19" t="s">
        <v>148</v>
      </c>
    </row>
    <row r="15" spans="2:3" ht="14.25" customHeight="1">
      <c r="B15" s="18" t="s">
        <v>55</v>
      </c>
      <c r="C15" s="19" t="s">
        <v>152</v>
      </c>
    </row>
    <row r="16" spans="2:3" ht="14.25" customHeight="1">
      <c r="B16" s="18" t="s">
        <v>56</v>
      </c>
      <c r="C16" s="19" t="s">
        <v>154</v>
      </c>
    </row>
    <row r="17" spans="2:3" ht="14.25" customHeight="1">
      <c r="B17" s="18" t="s">
        <v>57</v>
      </c>
      <c r="C17" s="19" t="s">
        <v>149</v>
      </c>
    </row>
    <row r="18" spans="2:3" ht="14.25" customHeight="1">
      <c r="B18" s="18" t="s">
        <v>58</v>
      </c>
      <c r="C18" s="19" t="s">
        <v>150</v>
      </c>
    </row>
    <row r="19" spans="2:3" ht="14.25" customHeight="1">
      <c r="B19" s="18" t="s">
        <v>59</v>
      </c>
      <c r="C19" s="19" t="s">
        <v>148</v>
      </c>
    </row>
    <row r="20" spans="2:3" ht="14.25" customHeight="1">
      <c r="B20" s="18" t="s">
        <v>61</v>
      </c>
      <c r="C20" s="19" t="s">
        <v>148</v>
      </c>
    </row>
    <row r="21" spans="2:3" ht="14.25" customHeight="1">
      <c r="B21" s="18" t="s">
        <v>62</v>
      </c>
      <c r="C21" s="19" t="s">
        <v>152</v>
      </c>
    </row>
    <row r="22" spans="2:3" ht="14.25" customHeight="1">
      <c r="B22" s="18" t="s">
        <v>63</v>
      </c>
      <c r="C22" s="19" t="s">
        <v>151</v>
      </c>
    </row>
    <row r="23" spans="2:3" ht="14.25" customHeight="1">
      <c r="B23" s="18" t="s">
        <v>65</v>
      </c>
      <c r="C23" s="19" t="s">
        <v>151</v>
      </c>
    </row>
    <row r="24" spans="2:3" ht="14.25" customHeight="1">
      <c r="B24" s="18" t="s">
        <v>66</v>
      </c>
      <c r="C24" s="19" t="s">
        <v>153</v>
      </c>
    </row>
    <row r="25" spans="2:3" ht="14.25" customHeight="1">
      <c r="B25" s="18" t="s">
        <v>67</v>
      </c>
      <c r="C25" s="19" t="s">
        <v>151</v>
      </c>
    </row>
    <row r="26" spans="2:3" ht="14.25" customHeight="1">
      <c r="B26" s="18" t="s">
        <v>68</v>
      </c>
      <c r="C26" s="19" t="s">
        <v>152</v>
      </c>
    </row>
    <row r="27" spans="2:3" ht="14.25" customHeight="1">
      <c r="B27" s="18" t="s">
        <v>69</v>
      </c>
      <c r="C27" s="19" t="s">
        <v>153</v>
      </c>
    </row>
    <row r="28" spans="2:3" ht="14.25" customHeight="1">
      <c r="B28" s="18" t="s">
        <v>70</v>
      </c>
      <c r="C28" s="19" t="s">
        <v>149</v>
      </c>
    </row>
    <row r="29" spans="2:3" ht="14.25" customHeight="1">
      <c r="B29" s="18" t="s">
        <v>71</v>
      </c>
      <c r="C29" s="19" t="s">
        <v>150</v>
      </c>
    </row>
    <row r="30" spans="2:3" ht="14.25" customHeight="1">
      <c r="B30" s="18" t="s">
        <v>72</v>
      </c>
      <c r="C30" s="19" t="s">
        <v>154</v>
      </c>
    </row>
    <row r="31" spans="2:3" ht="14.25" customHeight="1">
      <c r="B31" s="18" t="s">
        <v>73</v>
      </c>
      <c r="C31" s="19" t="s">
        <v>152</v>
      </c>
    </row>
    <row r="32" spans="2:3" ht="14.25" customHeight="1">
      <c r="B32" s="18" t="s">
        <v>74</v>
      </c>
      <c r="C32" s="19" t="s">
        <v>151</v>
      </c>
    </row>
    <row r="33" spans="2:3" ht="14.25" customHeight="1">
      <c r="B33" s="18" t="s">
        <v>75</v>
      </c>
      <c r="C33" s="19" t="s">
        <v>151</v>
      </c>
    </row>
    <row r="34" spans="2:3" ht="14.25" customHeight="1">
      <c r="B34" s="18" t="s">
        <v>76</v>
      </c>
      <c r="C34" s="19" t="s">
        <v>154</v>
      </c>
    </row>
    <row r="35" spans="2:3" ht="14.25" customHeight="1">
      <c r="B35" s="18" t="s">
        <v>77</v>
      </c>
      <c r="C35" s="19" t="s">
        <v>153</v>
      </c>
    </row>
    <row r="36" spans="2:3" ht="14.25" customHeight="1">
      <c r="B36" s="18" t="s">
        <v>78</v>
      </c>
      <c r="C36" s="19" t="s">
        <v>150</v>
      </c>
    </row>
    <row r="37" spans="2:3" ht="14.25" customHeight="1">
      <c r="B37" s="18" t="s">
        <v>79</v>
      </c>
      <c r="C37" s="19" t="s">
        <v>148</v>
      </c>
    </row>
    <row r="38" spans="2:3" ht="14.25" customHeight="1">
      <c r="B38" s="18" t="s">
        <v>81</v>
      </c>
      <c r="C38" s="19" t="s">
        <v>154</v>
      </c>
    </row>
    <row r="39" spans="2:3" ht="14.25" customHeight="1">
      <c r="B39" s="18" t="s">
        <v>82</v>
      </c>
      <c r="C39" s="19" t="s">
        <v>149</v>
      </c>
    </row>
    <row r="40" spans="2:3" ht="14.25" customHeight="1">
      <c r="B40" s="18" t="s">
        <v>83</v>
      </c>
      <c r="C40" s="19" t="s">
        <v>155</v>
      </c>
    </row>
    <row r="41" spans="2:3" ht="14.25" customHeight="1">
      <c r="B41" s="18" t="s">
        <v>84</v>
      </c>
      <c r="C41" s="19" t="s">
        <v>148</v>
      </c>
    </row>
    <row r="42" spans="2:3" ht="14.25" customHeight="1">
      <c r="B42" s="18" t="s">
        <v>85</v>
      </c>
      <c r="C42" s="19" t="s">
        <v>155</v>
      </c>
    </row>
    <row r="43" spans="2:3" ht="14.25" customHeight="1">
      <c r="B43" s="18" t="s">
        <v>86</v>
      </c>
      <c r="C43" s="19" t="s">
        <v>155</v>
      </c>
    </row>
    <row r="44" spans="2:3" ht="14.25" customHeight="1">
      <c r="B44" s="18" t="s">
        <v>87</v>
      </c>
      <c r="C44" s="19" t="s">
        <v>153</v>
      </c>
    </row>
    <row r="45" spans="2:3" ht="14.25" customHeight="1">
      <c r="B45" s="18" t="s">
        <v>88</v>
      </c>
      <c r="C45" s="19" t="s">
        <v>148</v>
      </c>
    </row>
    <row r="46" spans="2:3" ht="14.25" customHeight="1">
      <c r="B46" s="18" t="s">
        <v>89</v>
      </c>
      <c r="C46" s="19" t="s">
        <v>152</v>
      </c>
    </row>
    <row r="47" spans="2:3" ht="14.25" customHeight="1">
      <c r="B47" s="18" t="s">
        <v>90</v>
      </c>
      <c r="C47" s="19" t="s">
        <v>148</v>
      </c>
    </row>
    <row r="48" spans="2:3" ht="14.25" customHeight="1">
      <c r="B48" s="18" t="s">
        <v>91</v>
      </c>
      <c r="C48" s="19" t="s">
        <v>152</v>
      </c>
    </row>
    <row r="49" spans="2:3" ht="14.25" customHeight="1">
      <c r="B49" s="18" t="s">
        <v>92</v>
      </c>
      <c r="C49" s="19" t="s">
        <v>148</v>
      </c>
    </row>
    <row r="50" spans="2:3" ht="14.25" customHeight="1">
      <c r="B50" s="18" t="s">
        <v>93</v>
      </c>
      <c r="C50" s="19" t="s">
        <v>150</v>
      </c>
    </row>
    <row r="51" spans="2:3" ht="14.25" customHeight="1">
      <c r="B51" s="18" t="s">
        <v>94</v>
      </c>
      <c r="C51" s="19" t="s">
        <v>149</v>
      </c>
    </row>
    <row r="52" spans="2:3" ht="14.25" customHeight="1">
      <c r="B52" s="18" t="s">
        <v>95</v>
      </c>
      <c r="C52" s="19" t="s">
        <v>155</v>
      </c>
    </row>
    <row r="53" spans="2:3" ht="14.25" customHeight="1">
      <c r="B53" s="18" t="s">
        <v>96</v>
      </c>
      <c r="C53" s="19" t="s">
        <v>150</v>
      </c>
    </row>
    <row r="54" spans="2:3" ht="14.25" customHeight="1">
      <c r="B54" s="18" t="s">
        <v>97</v>
      </c>
      <c r="C54" s="19" t="s">
        <v>153</v>
      </c>
    </row>
    <row r="55" spans="2:3" ht="14.25" customHeight="1">
      <c r="B55" s="18" t="s">
        <v>98</v>
      </c>
      <c r="C55" s="19" t="s">
        <v>155</v>
      </c>
    </row>
    <row r="56" spans="2:3" ht="14.25" customHeight="1">
      <c r="B56" s="18" t="s">
        <v>99</v>
      </c>
      <c r="C56" s="19" t="s">
        <v>148</v>
      </c>
    </row>
    <row r="57" spans="2:3" ht="14.25" customHeight="1">
      <c r="B57" s="18" t="s">
        <v>100</v>
      </c>
      <c r="C57" s="19" t="s">
        <v>149</v>
      </c>
    </row>
    <row r="58" spans="2:3" ht="14.25" customHeight="1">
      <c r="B58" s="18" t="s">
        <v>101</v>
      </c>
      <c r="C58" s="19" t="s">
        <v>154</v>
      </c>
    </row>
    <row r="59" spans="2:3" ht="14.25" customHeight="1">
      <c r="B59" s="18" t="s">
        <v>102</v>
      </c>
      <c r="C59" s="19" t="s">
        <v>150</v>
      </c>
    </row>
    <row r="60" spans="2:3" ht="14.25" customHeight="1">
      <c r="B60" s="18" t="s">
        <v>103</v>
      </c>
      <c r="C60" s="19" t="s">
        <v>151</v>
      </c>
    </row>
    <row r="61" spans="2:3" ht="14.25" customHeight="1">
      <c r="B61" s="18" t="s">
        <v>104</v>
      </c>
      <c r="C61" s="19" t="s">
        <v>150</v>
      </c>
    </row>
    <row r="62" spans="2:3" ht="14.25" customHeight="1">
      <c r="B62" s="18" t="s">
        <v>105</v>
      </c>
      <c r="C62" s="19" t="s">
        <v>151</v>
      </c>
    </row>
    <row r="63" spans="2:3" ht="14.25" customHeight="1">
      <c r="B63" s="18" t="s">
        <v>106</v>
      </c>
      <c r="C63" s="19" t="s">
        <v>148</v>
      </c>
    </row>
    <row r="64" spans="2:3" ht="14.25" customHeight="1">
      <c r="B64" s="18" t="s">
        <v>107</v>
      </c>
      <c r="C64" s="19" t="s">
        <v>149</v>
      </c>
    </row>
    <row r="65" spans="2:3" ht="14.25" customHeight="1">
      <c r="B65" s="18" t="s">
        <v>108</v>
      </c>
      <c r="C65" s="19" t="s">
        <v>154</v>
      </c>
    </row>
    <row r="66" spans="2:3" ht="14.25" customHeight="1">
      <c r="B66" s="18" t="s">
        <v>109</v>
      </c>
      <c r="C66" s="19" t="s">
        <v>152</v>
      </c>
    </row>
    <row r="67" spans="2:3" ht="14.25" customHeight="1">
      <c r="B67" s="18" t="s">
        <v>110</v>
      </c>
      <c r="C67" s="19" t="s">
        <v>154</v>
      </c>
    </row>
    <row r="68" spans="2:3" ht="14.25" customHeight="1">
      <c r="B68" s="18" t="s">
        <v>111</v>
      </c>
      <c r="C68" s="19" t="s">
        <v>151</v>
      </c>
    </row>
    <row r="69" spans="2:3" ht="14.25" customHeight="1">
      <c r="B69" s="18" t="s">
        <v>112</v>
      </c>
      <c r="C69" s="19" t="s">
        <v>150</v>
      </c>
    </row>
    <row r="70" spans="2:3" ht="14.25" customHeight="1">
      <c r="B70" s="18" t="s">
        <v>113</v>
      </c>
      <c r="C70" s="19" t="s">
        <v>155</v>
      </c>
    </row>
    <row r="71" spans="2:3" ht="14.25" customHeight="1">
      <c r="B71" s="18" t="s">
        <v>114</v>
      </c>
      <c r="C71" s="19" t="s">
        <v>150</v>
      </c>
    </row>
    <row r="72" spans="2:3" ht="14.25" customHeight="1">
      <c r="B72" s="18" t="s">
        <v>115</v>
      </c>
      <c r="C72" s="19" t="s">
        <v>152</v>
      </c>
    </row>
    <row r="73" spans="2:3" ht="14.25" customHeight="1">
      <c r="B73" s="18" t="s">
        <v>116</v>
      </c>
      <c r="C73" s="19" t="s">
        <v>150</v>
      </c>
    </row>
    <row r="74" spans="2:3" ht="14.25" customHeight="1">
      <c r="B74" s="18" t="s">
        <v>117</v>
      </c>
      <c r="C74" s="19" t="s">
        <v>151</v>
      </c>
    </row>
    <row r="75" spans="2:3" ht="14.25" customHeight="1">
      <c r="B75" s="18" t="s">
        <v>118</v>
      </c>
      <c r="C75" s="19" t="s">
        <v>152</v>
      </c>
    </row>
    <row r="76" spans="2:3" ht="14.25" customHeight="1">
      <c r="B76" s="18" t="s">
        <v>119</v>
      </c>
      <c r="C76" s="19" t="s">
        <v>150</v>
      </c>
    </row>
    <row r="77" spans="2:3" ht="14.25" customHeight="1">
      <c r="B77" s="18" t="s">
        <v>120</v>
      </c>
      <c r="C77" s="19" t="s">
        <v>155</v>
      </c>
    </row>
    <row r="78" spans="2:3" ht="14.25" customHeight="1">
      <c r="B78" s="18" t="s">
        <v>121</v>
      </c>
      <c r="C78" s="19" t="s">
        <v>148</v>
      </c>
    </row>
    <row r="79" spans="2:3" ht="14.25" customHeight="1">
      <c r="B79" s="18" t="s">
        <v>122</v>
      </c>
      <c r="C79" s="19" t="s">
        <v>151</v>
      </c>
    </row>
    <row r="80" spans="2:3" ht="14.25" customHeight="1">
      <c r="B80" s="18" t="s">
        <v>123</v>
      </c>
      <c r="C80" s="19" t="s">
        <v>149</v>
      </c>
    </row>
    <row r="81" spans="2:3" ht="14.25" customHeight="1">
      <c r="B81" s="18" t="s">
        <v>124</v>
      </c>
      <c r="C81" s="19" t="s">
        <v>150</v>
      </c>
    </row>
    <row r="82" spans="2:3" ht="14.25" customHeight="1">
      <c r="B82" s="18" t="s">
        <v>125</v>
      </c>
      <c r="C82" s="19" t="s">
        <v>149</v>
      </c>
    </row>
    <row r="83" spans="2:3" ht="14.25" customHeight="1">
      <c r="B83" s="18" t="s">
        <v>126</v>
      </c>
      <c r="C83" s="19" t="s">
        <v>149</v>
      </c>
    </row>
    <row r="84" spans="2:3" ht="14.25" customHeight="1">
      <c r="B84" s="18" t="s">
        <v>127</v>
      </c>
      <c r="C84" s="19" t="s">
        <v>155</v>
      </c>
    </row>
    <row r="85" spans="2:3" ht="14.25" customHeight="1">
      <c r="B85" s="18" t="s">
        <v>128</v>
      </c>
      <c r="C85" s="19" t="s">
        <v>148</v>
      </c>
    </row>
    <row r="86" spans="2:3" ht="14.25" customHeight="1">
      <c r="B86" s="18" t="s">
        <v>129</v>
      </c>
      <c r="C86" s="19" t="s">
        <v>151</v>
      </c>
    </row>
    <row r="87" spans="2:3" ht="14.25" customHeight="1">
      <c r="B87" s="18" t="s">
        <v>130</v>
      </c>
      <c r="C87" s="19" t="s">
        <v>154</v>
      </c>
    </row>
    <row r="88" spans="2:3" ht="14.25" customHeight="1">
      <c r="B88" s="18" t="s">
        <v>131</v>
      </c>
      <c r="C88" s="19" t="s">
        <v>150</v>
      </c>
    </row>
    <row r="89" spans="2:3" ht="14.25" customHeight="1">
      <c r="B89" s="18" t="s">
        <v>132</v>
      </c>
      <c r="C89" s="19" t="s">
        <v>150</v>
      </c>
    </row>
    <row r="90" spans="2:3" ht="14.25" customHeight="1">
      <c r="B90" s="18" t="s">
        <v>133</v>
      </c>
      <c r="C90" s="19" t="s">
        <v>153</v>
      </c>
    </row>
    <row r="91" spans="2:3" ht="14.25" customHeight="1">
      <c r="B91" s="18" t="s">
        <v>134</v>
      </c>
      <c r="C91" s="19" t="s">
        <v>151</v>
      </c>
    </row>
    <row r="92" spans="2:3" ht="14.25" customHeight="1">
      <c r="B92" s="18" t="s">
        <v>135</v>
      </c>
      <c r="C92" s="19" t="s">
        <v>150</v>
      </c>
    </row>
    <row r="93" spans="2:3" ht="14.25" customHeight="1">
      <c r="B93" s="18" t="s">
        <v>136</v>
      </c>
      <c r="C93" s="19" t="s">
        <v>153</v>
      </c>
    </row>
    <row r="94" spans="2:3" ht="14.25" customHeight="1">
      <c r="B94" s="18" t="s">
        <v>137</v>
      </c>
      <c r="C94" s="19" t="s">
        <v>150</v>
      </c>
    </row>
    <row r="95" spans="2:3" ht="14.25" customHeight="1">
      <c r="B95" s="18" t="s">
        <v>138</v>
      </c>
      <c r="C95" s="19" t="s">
        <v>152</v>
      </c>
    </row>
    <row r="96" spans="2:3" ht="14.25" customHeight="1">
      <c r="B96" s="18" t="s">
        <v>139</v>
      </c>
      <c r="C96" s="19" t="s">
        <v>154</v>
      </c>
    </row>
    <row r="97" spans="2:3" ht="14.25" customHeight="1">
      <c r="B97" s="18" t="s">
        <v>140</v>
      </c>
      <c r="C97" s="19" t="s">
        <v>153</v>
      </c>
    </row>
    <row r="98" spans="2:3" ht="14.25" customHeight="1">
      <c r="B98" s="18" t="s">
        <v>141</v>
      </c>
      <c r="C98" s="19" t="s">
        <v>148</v>
      </c>
    </row>
    <row r="99" spans="2:3" ht="14.25" customHeight="1">
      <c r="B99" s="18" t="s">
        <v>142</v>
      </c>
      <c r="C99" s="19" t="s">
        <v>149</v>
      </c>
    </row>
    <row r="100" spans="2:3" ht="14.25" customHeight="1">
      <c r="B100" s="18" t="s">
        <v>143</v>
      </c>
      <c r="C100" s="19" t="s">
        <v>148</v>
      </c>
    </row>
    <row r="101" spans="2:3" ht="14.25" customHeight="1">
      <c r="B101" s="18" t="s">
        <v>144</v>
      </c>
      <c r="C101" s="19" t="s">
        <v>152</v>
      </c>
    </row>
    <row r="102" spans="2:3" ht="14.25" customHeight="1">
      <c r="B102" s="1"/>
      <c r="C102" s="1"/>
    </row>
    <row r="103" spans="2:3" ht="14.25" customHeight="1">
      <c r="B103" s="1"/>
      <c r="C103" s="1"/>
    </row>
    <row r="104" spans="2:3" ht="14.25" customHeight="1">
      <c r="B104" s="1"/>
      <c r="C104" s="1"/>
    </row>
    <row r="105" spans="2:3" ht="14.25" customHeight="1">
      <c r="B105" s="1"/>
      <c r="C105" s="1"/>
    </row>
    <row r="106" spans="2:3" ht="14.25" customHeight="1">
      <c r="B106" s="1"/>
      <c r="C106" s="1"/>
    </row>
    <row r="107" spans="2:3" ht="14.25" customHeight="1">
      <c r="B107" s="1"/>
      <c r="C107" s="1"/>
    </row>
    <row r="108" spans="2:3" ht="14.25" customHeight="1">
      <c r="B108" s="1"/>
      <c r="C108" s="1"/>
    </row>
    <row r="109" spans="2:3" ht="14.25" customHeight="1">
      <c r="B109" s="1"/>
      <c r="C109" s="1"/>
    </row>
    <row r="110" spans="2:3" ht="14.25" customHeight="1">
      <c r="B110" s="1"/>
      <c r="C110" s="1"/>
    </row>
    <row r="111" spans="2:3" ht="14.25" customHeight="1">
      <c r="B111" s="1"/>
      <c r="C111" s="1"/>
    </row>
    <row r="112" spans="2:3" ht="14.25" customHeight="1">
      <c r="B112" s="1"/>
      <c r="C112" s="1"/>
    </row>
    <row r="113" spans="2:3" ht="14.25" customHeight="1">
      <c r="B113" s="1"/>
      <c r="C113" s="1"/>
    </row>
    <row r="114" spans="2:3" ht="14.25" customHeight="1">
      <c r="B114" s="1"/>
      <c r="C114" s="1"/>
    </row>
    <row r="115" spans="2:3" ht="14.25" customHeight="1">
      <c r="B115" s="1"/>
      <c r="C115" s="1"/>
    </row>
    <row r="116" spans="2:3" ht="14.25" customHeight="1">
      <c r="B116" s="1"/>
      <c r="C116" s="1"/>
    </row>
    <row r="117" spans="2:3" ht="14.25" customHeight="1">
      <c r="B117" s="1"/>
      <c r="C117" s="1"/>
    </row>
    <row r="118" spans="2:3" ht="14.25" customHeight="1">
      <c r="B118" s="1"/>
      <c r="C118" s="1"/>
    </row>
    <row r="119" spans="2:3" ht="14.25" customHeight="1">
      <c r="B119" s="1"/>
      <c r="C119" s="1"/>
    </row>
    <row r="120" spans="2:3" ht="14.25" customHeight="1">
      <c r="B120" s="1"/>
      <c r="C120" s="1"/>
    </row>
    <row r="121" spans="2:3" ht="14.25" customHeight="1">
      <c r="B121" s="1"/>
      <c r="C121" s="1"/>
    </row>
    <row r="122" spans="2:3" ht="14.25" customHeight="1">
      <c r="B122" s="1"/>
      <c r="C122" s="1"/>
    </row>
    <row r="123" spans="2:3" ht="14.25" customHeight="1">
      <c r="B123" s="1"/>
      <c r="C123" s="1"/>
    </row>
    <row r="124" spans="2:3" ht="14.25" customHeight="1">
      <c r="B124" s="1"/>
      <c r="C124" s="1"/>
    </row>
    <row r="125" spans="2:3" ht="14.25" customHeight="1">
      <c r="B125" s="1"/>
      <c r="C125" s="1"/>
    </row>
    <row r="126" spans="2:3" ht="14.25" customHeight="1">
      <c r="B126" s="1"/>
      <c r="C126" s="1"/>
    </row>
    <row r="127" spans="2:3" ht="14.25" customHeight="1">
      <c r="B127" s="1"/>
      <c r="C127" s="1"/>
    </row>
    <row r="128" spans="2:3" ht="14.25" customHeight="1">
      <c r="B128" s="1"/>
      <c r="C128" s="1"/>
    </row>
    <row r="129" spans="2:3" ht="14.25" customHeight="1">
      <c r="B129" s="1"/>
      <c r="C129" s="1"/>
    </row>
    <row r="130" spans="2:3" ht="14.25" customHeight="1">
      <c r="B130" s="1"/>
      <c r="C130" s="1"/>
    </row>
    <row r="131" spans="2:3" ht="14.25" customHeight="1">
      <c r="B131" s="1"/>
      <c r="C131" s="1"/>
    </row>
    <row r="132" spans="2:3" ht="14.25" customHeight="1">
      <c r="B132" s="1"/>
      <c r="C132" s="1"/>
    </row>
    <row r="133" spans="2:3" ht="14.25" customHeight="1">
      <c r="B133" s="1"/>
      <c r="C133" s="1"/>
    </row>
    <row r="134" spans="2:3" ht="14.25" customHeight="1">
      <c r="B134" s="1"/>
      <c r="C134" s="1"/>
    </row>
    <row r="135" spans="2:3" ht="14.25" customHeight="1">
      <c r="B135" s="1"/>
      <c r="C135" s="1"/>
    </row>
    <row r="136" spans="2:3" ht="14.25" customHeight="1">
      <c r="B136" s="1"/>
      <c r="C136" s="1"/>
    </row>
    <row r="137" spans="2:3" ht="14.25" customHeight="1">
      <c r="B137" s="1"/>
      <c r="C137" s="1"/>
    </row>
    <row r="138" spans="2:3" ht="14.25" customHeight="1">
      <c r="B138" s="1"/>
      <c r="C138" s="1"/>
    </row>
    <row r="139" spans="2:3" ht="14.25" customHeight="1">
      <c r="B139" s="1"/>
      <c r="C139" s="1"/>
    </row>
    <row r="140" spans="2:3" ht="14.25" customHeight="1">
      <c r="B140" s="1"/>
      <c r="C140" s="1"/>
    </row>
    <row r="141" spans="2:3" ht="14.25" customHeight="1">
      <c r="B141" s="1"/>
      <c r="C141" s="1"/>
    </row>
    <row r="142" spans="2:3" ht="14.25" customHeight="1">
      <c r="B142" s="1"/>
      <c r="C142" s="1"/>
    </row>
    <row r="143" spans="2:3" ht="14.25" customHeight="1">
      <c r="B143" s="1"/>
      <c r="C143" s="1"/>
    </row>
    <row r="144" spans="2:3" ht="14.25" customHeight="1">
      <c r="B144" s="1"/>
      <c r="C144" s="1"/>
    </row>
    <row r="145" spans="2:3" ht="14.25" customHeight="1">
      <c r="B145" s="1"/>
      <c r="C145" s="1"/>
    </row>
    <row r="146" spans="2:3" ht="14.25" customHeight="1">
      <c r="B146" s="1"/>
      <c r="C146" s="1"/>
    </row>
    <row r="147" spans="2:3" ht="14.25" customHeight="1">
      <c r="B147" s="1"/>
      <c r="C147" s="1"/>
    </row>
    <row r="148" spans="2:3" ht="14.25" customHeight="1">
      <c r="B148" s="1"/>
      <c r="C148" s="1"/>
    </row>
    <row r="149" spans="2:3" ht="14.25" customHeight="1">
      <c r="B149" s="1"/>
      <c r="C149" s="1"/>
    </row>
    <row r="150" spans="2:3" ht="14.25" customHeight="1">
      <c r="B150" s="1"/>
      <c r="C150" s="1"/>
    </row>
    <row r="151" spans="2:3" ht="14.25" customHeight="1">
      <c r="B151" s="1"/>
      <c r="C151" s="1"/>
    </row>
    <row r="152" spans="2:3" ht="14.25" customHeight="1">
      <c r="B152" s="1"/>
      <c r="C152" s="1"/>
    </row>
    <row r="153" spans="2:3" ht="14.25" customHeight="1">
      <c r="B153" s="1"/>
      <c r="C153" s="1"/>
    </row>
    <row r="154" spans="2:3" ht="14.25" customHeight="1">
      <c r="B154" s="1"/>
      <c r="C154" s="1"/>
    </row>
    <row r="155" spans="2:3" ht="14.25" customHeight="1">
      <c r="B155" s="1"/>
      <c r="C155" s="1"/>
    </row>
    <row r="156" spans="2:3" ht="14.25" customHeight="1">
      <c r="B156" s="1"/>
      <c r="C156" s="1"/>
    </row>
    <row r="157" spans="2:3" ht="14.25" customHeight="1">
      <c r="B157" s="1"/>
      <c r="C157" s="1"/>
    </row>
    <row r="158" spans="2:3" ht="14.25" customHeight="1">
      <c r="B158" s="1"/>
      <c r="C158" s="1"/>
    </row>
    <row r="159" spans="2:3" ht="14.25" customHeight="1">
      <c r="B159" s="1"/>
      <c r="C159" s="1"/>
    </row>
    <row r="160" spans="2:3" ht="14.25" customHeight="1">
      <c r="B160" s="1"/>
      <c r="C160" s="1"/>
    </row>
    <row r="161" spans="2:3" ht="14.25" customHeight="1">
      <c r="B161" s="1"/>
      <c r="C161" s="1"/>
    </row>
    <row r="162" spans="2:3" ht="14.25" customHeight="1">
      <c r="B162" s="1"/>
      <c r="C162" s="1"/>
    </row>
    <row r="163" spans="2:3" ht="14.25" customHeight="1">
      <c r="B163" s="1"/>
      <c r="C163" s="1"/>
    </row>
    <row r="164" spans="2:3" ht="14.25" customHeight="1">
      <c r="B164" s="1"/>
      <c r="C164" s="1"/>
    </row>
    <row r="165" spans="2:3" ht="14.25" customHeight="1">
      <c r="B165" s="1"/>
      <c r="C165" s="1"/>
    </row>
    <row r="166" spans="2:3" ht="14.25" customHeight="1">
      <c r="B166" s="1"/>
      <c r="C166" s="1"/>
    </row>
    <row r="167" spans="2:3" ht="14.25" customHeight="1">
      <c r="B167" s="1"/>
      <c r="C167" s="1"/>
    </row>
    <row r="168" spans="2:3" ht="14.25" customHeight="1">
      <c r="B168" s="1"/>
      <c r="C168" s="1"/>
    </row>
    <row r="169" spans="2:3" ht="14.25" customHeight="1">
      <c r="B169" s="1"/>
      <c r="C169" s="1"/>
    </row>
    <row r="170" spans="2:3" ht="14.25" customHeight="1">
      <c r="B170" s="1"/>
      <c r="C170" s="1"/>
    </row>
    <row r="171" spans="2:3" ht="14.25" customHeight="1">
      <c r="B171" s="1"/>
      <c r="C171" s="1"/>
    </row>
    <row r="172" spans="2:3" ht="14.25" customHeight="1">
      <c r="B172" s="1"/>
      <c r="C172" s="1"/>
    </row>
    <row r="173" spans="2:3" ht="14.25" customHeight="1">
      <c r="B173" s="1"/>
      <c r="C173" s="1"/>
    </row>
    <row r="174" spans="2:3" ht="14.25" customHeight="1">
      <c r="B174" s="1"/>
      <c r="C174" s="1"/>
    </row>
    <row r="175" spans="2:3" ht="14.25" customHeight="1">
      <c r="B175" s="1"/>
      <c r="C175" s="1"/>
    </row>
    <row r="176" spans="2:3" ht="14.25" customHeight="1">
      <c r="B176" s="1"/>
      <c r="C176" s="1"/>
    </row>
    <row r="177" spans="2:3" ht="14.25" customHeight="1">
      <c r="B177" s="1"/>
      <c r="C177" s="1"/>
    </row>
    <row r="178" spans="2:3" ht="14.25" customHeight="1">
      <c r="B178" s="1"/>
      <c r="C178" s="1"/>
    </row>
    <row r="179" spans="2:3" ht="14.25" customHeight="1">
      <c r="B179" s="1"/>
      <c r="C179" s="1"/>
    </row>
    <row r="180" spans="2:3" ht="14.25" customHeight="1">
      <c r="B180" s="1"/>
      <c r="C180" s="1"/>
    </row>
    <row r="181" spans="2:3" ht="14.25" customHeight="1">
      <c r="B181" s="1"/>
      <c r="C181" s="1"/>
    </row>
    <row r="182" spans="2:3" ht="14.25" customHeight="1">
      <c r="B182" s="1"/>
      <c r="C182" s="1"/>
    </row>
    <row r="183" spans="2:3" ht="14.25" customHeight="1">
      <c r="B183" s="1"/>
      <c r="C183" s="1"/>
    </row>
    <row r="184" spans="2:3" ht="14.25" customHeight="1">
      <c r="B184" s="1"/>
      <c r="C184" s="1"/>
    </row>
    <row r="185" spans="2:3" ht="14.25" customHeight="1">
      <c r="B185" s="1"/>
      <c r="C185" s="1"/>
    </row>
    <row r="186" spans="2:3" ht="14.25" customHeight="1">
      <c r="B186" s="1"/>
      <c r="C186" s="1"/>
    </row>
    <row r="187" spans="2:3" ht="14.25" customHeight="1">
      <c r="B187" s="1"/>
      <c r="C187" s="1"/>
    </row>
    <row r="188" spans="2:3" ht="14.25" customHeight="1">
      <c r="B188" s="1"/>
      <c r="C188" s="1"/>
    </row>
    <row r="189" spans="2:3" ht="14.25" customHeight="1">
      <c r="B189" s="1"/>
      <c r="C189" s="1"/>
    </row>
    <row r="190" spans="2:3" ht="14.25" customHeight="1">
      <c r="B190" s="1"/>
      <c r="C190" s="1"/>
    </row>
    <row r="191" spans="2:3" ht="14.25" customHeight="1">
      <c r="B191" s="1"/>
      <c r="C191" s="1"/>
    </row>
    <row r="192" spans="2:3" ht="14.25" customHeight="1">
      <c r="B192" s="1"/>
      <c r="C192" s="1"/>
    </row>
    <row r="193" spans="2:3" ht="14.25" customHeight="1">
      <c r="B193" s="1"/>
      <c r="C193" s="1"/>
    </row>
    <row r="194" spans="2:3" ht="14.25" customHeight="1">
      <c r="B194" s="1"/>
      <c r="C194" s="1"/>
    </row>
    <row r="195" spans="2:3" ht="14.25" customHeight="1">
      <c r="B195" s="1"/>
      <c r="C195" s="1"/>
    </row>
    <row r="196" spans="2:3" ht="14.25" customHeight="1">
      <c r="B196" s="1"/>
      <c r="C196" s="1"/>
    </row>
    <row r="197" spans="2:3" ht="14.25" customHeight="1">
      <c r="B197" s="1"/>
      <c r="C197" s="1"/>
    </row>
    <row r="198" spans="2:3" ht="14.25" customHeight="1"/>
    <row r="199" spans="2:3" ht="14.25" customHeight="1"/>
    <row r="200" spans="2:3" ht="14.25" customHeight="1"/>
    <row r="201" spans="2:3" ht="14.25" customHeight="1"/>
    <row r="202" spans="2:3" ht="14.25" customHeight="1"/>
    <row r="203" spans="2:3" ht="14.25" customHeight="1"/>
    <row r="204" spans="2:3" ht="14.25" customHeight="1"/>
    <row r="205" spans="2:3" ht="14.25" customHeight="1"/>
    <row r="206" spans="2:3" ht="14.25" customHeight="1"/>
    <row r="207" spans="2:3" ht="14.25" customHeight="1"/>
    <row r="208" spans="2:3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B952-029D-43E6-A287-D0F8A7750740}">
  <dimension ref="B2:O118"/>
  <sheetViews>
    <sheetView topLeftCell="A10" workbookViewId="0">
      <selection activeCell="C21" sqref="C21"/>
    </sheetView>
  </sheetViews>
  <sheetFormatPr defaultRowHeight="14.4"/>
  <cols>
    <col min="2" max="2" width="9" customWidth="1"/>
    <col min="3" max="3" width="43.21875" customWidth="1"/>
    <col min="4" max="4" width="20.44140625" customWidth="1"/>
    <col min="5" max="5" width="23.88671875" customWidth="1"/>
    <col min="6" max="6" width="36.77734375" customWidth="1"/>
    <col min="7" max="7" width="16.6640625" customWidth="1"/>
    <col min="8" max="8" width="28.33203125" customWidth="1"/>
    <col min="9" max="9" width="27.6640625" customWidth="1"/>
    <col min="10" max="10" width="16.33203125" customWidth="1"/>
    <col min="11" max="11" width="24.5546875" customWidth="1"/>
    <col min="12" max="12" width="15.109375" customWidth="1"/>
    <col min="13" max="13" width="17.77734375" customWidth="1"/>
    <col min="14" max="14" width="23.88671875" customWidth="1"/>
    <col min="15" max="15" width="16.33203125" customWidth="1"/>
  </cols>
  <sheetData>
    <row r="2" spans="2:15" ht="18.600000000000001" customHeight="1"/>
    <row r="3" spans="2:15">
      <c r="B3" s="13"/>
      <c r="D3" s="30"/>
      <c r="E3" s="32" t="s">
        <v>5</v>
      </c>
      <c r="F3" s="32" t="s">
        <v>6</v>
      </c>
      <c r="G3" s="13"/>
      <c r="H3" s="5"/>
      <c r="I3" s="5"/>
      <c r="K3" t="str" cm="1">
        <f t="array" ref="K3:K10">_xlfn.UNIQUE(L19:L118)</f>
        <v>Бухгалтерія</v>
      </c>
    </row>
    <row r="4" spans="2:15">
      <c r="B4" s="13"/>
      <c r="D4" s="30"/>
      <c r="E4" s="33" t="s">
        <v>8</v>
      </c>
      <c r="F4" s="31">
        <v>39</v>
      </c>
      <c r="G4" s="13"/>
      <c r="I4" s="13"/>
      <c r="K4" t="str">
        <v>Відділ збуту</v>
      </c>
    </row>
    <row r="5" spans="2:15">
      <c r="B5" s="13"/>
      <c r="D5" s="30"/>
      <c r="E5" s="33" t="s">
        <v>10</v>
      </c>
      <c r="F5" s="31">
        <v>61</v>
      </c>
      <c r="G5" s="13"/>
      <c r="I5" s="13"/>
      <c r="K5" t="str">
        <v>Відділ кадрів</v>
      </c>
    </row>
    <row r="6" spans="2:15">
      <c r="B6" s="13"/>
      <c r="D6" s="30"/>
      <c r="E6" s="33" t="s">
        <v>11</v>
      </c>
      <c r="F6" s="31">
        <v>3</v>
      </c>
      <c r="G6" s="13"/>
      <c r="I6" s="13"/>
      <c r="K6" t="str">
        <v>Господарський відділ</v>
      </c>
    </row>
    <row r="7" spans="2:15">
      <c r="B7" s="13"/>
      <c r="D7" s="30"/>
      <c r="E7" s="33" t="s">
        <v>13</v>
      </c>
      <c r="F7" s="34">
        <v>45</v>
      </c>
      <c r="G7" s="13"/>
      <c r="I7" s="29"/>
      <c r="K7" t="str">
        <v>Дирекція</v>
      </c>
    </row>
    <row r="8" spans="2:15">
      <c r="B8" s="13"/>
      <c r="D8" s="30"/>
      <c r="E8" s="33" t="s">
        <v>15</v>
      </c>
      <c r="F8" s="32" t="s">
        <v>368</v>
      </c>
      <c r="G8" s="13"/>
      <c r="I8" s="5"/>
      <c r="K8" t="str">
        <v>Маркетинговий відділ</v>
      </c>
    </row>
    <row r="9" spans="2:15">
      <c r="B9" s="13"/>
      <c r="D9" s="30"/>
      <c r="E9" s="33" t="s">
        <v>17</v>
      </c>
      <c r="F9" s="31">
        <v>4</v>
      </c>
      <c r="G9" s="13"/>
      <c r="I9" s="13"/>
      <c r="K9" t="str">
        <v>Фінансовий відділ</v>
      </c>
    </row>
    <row r="10" spans="2:15" ht="24" customHeight="1">
      <c r="B10" s="13"/>
      <c r="D10" s="30"/>
      <c r="E10" s="33" t="s">
        <v>19</v>
      </c>
      <c r="F10" s="31">
        <v>6</v>
      </c>
      <c r="G10" s="13"/>
      <c r="H10" s="41"/>
      <c r="I10" s="13"/>
      <c r="K10" t="str">
        <v>Юридичний відділ</v>
      </c>
    </row>
    <row r="11" spans="2:15">
      <c r="B11" s="13"/>
      <c r="D11" s="30"/>
      <c r="E11" s="33" t="s">
        <v>20</v>
      </c>
      <c r="F11" s="35" t="s">
        <v>43</v>
      </c>
      <c r="G11" s="13"/>
      <c r="I11" s="13"/>
    </row>
    <row r="16" spans="2:15">
      <c r="D16" s="40"/>
      <c r="E16" s="40">
        <v>44927</v>
      </c>
      <c r="O16">
        <f>MAX(Дані!$J$19:$J$118)</f>
        <v>15</v>
      </c>
    </row>
    <row r="18" spans="2:15" ht="15" thickBot="1">
      <c r="B18" s="63" t="s">
        <v>4</v>
      </c>
      <c r="C18" s="42" t="s">
        <v>469</v>
      </c>
      <c r="D18" s="42" t="s">
        <v>23</v>
      </c>
      <c r="E18" s="42" t="s">
        <v>24</v>
      </c>
      <c r="F18" s="43" t="s">
        <v>25</v>
      </c>
      <c r="G18" s="43" t="s">
        <v>26</v>
      </c>
      <c r="H18" s="43" t="s">
        <v>27</v>
      </c>
      <c r="I18" s="43" t="s">
        <v>28</v>
      </c>
      <c r="J18" s="42" t="s">
        <v>29</v>
      </c>
      <c r="K18" s="42" t="s">
        <v>30</v>
      </c>
      <c r="L18" s="44" t="s">
        <v>146</v>
      </c>
      <c r="M18" s="44" t="s">
        <v>364</v>
      </c>
      <c r="N18" s="45" t="s">
        <v>470</v>
      </c>
      <c r="O18" s="72" t="s">
        <v>473</v>
      </c>
    </row>
    <row r="19" spans="2:15">
      <c r="B19" s="64">
        <v>99</v>
      </c>
      <c r="C19" s="47" t="s">
        <v>369</v>
      </c>
      <c r="D19" s="48">
        <v>23575</v>
      </c>
      <c r="E19" s="46" t="s">
        <v>37</v>
      </c>
      <c r="F19" s="46">
        <v>42</v>
      </c>
      <c r="G19" s="46" t="s">
        <v>38</v>
      </c>
      <c r="H19" s="49">
        <v>39161</v>
      </c>
      <c r="I19" s="49"/>
      <c r="J19" s="46">
        <v>15</v>
      </c>
      <c r="K19" s="68"/>
      <c r="L19" s="50" t="s">
        <v>148</v>
      </c>
      <c r="M19" s="50" t="s">
        <v>361</v>
      </c>
      <c r="N19" s="47">
        <v>1</v>
      </c>
      <c r="O19" s="73" t="s">
        <v>477</v>
      </c>
    </row>
    <row r="20" spans="2:15">
      <c r="B20" s="65">
        <v>48</v>
      </c>
      <c r="C20" s="51" t="s">
        <v>370</v>
      </c>
      <c r="D20" s="52">
        <v>28873</v>
      </c>
      <c r="E20" s="37" t="s">
        <v>362</v>
      </c>
      <c r="F20" s="37">
        <v>34</v>
      </c>
      <c r="G20" s="37" t="s">
        <v>38</v>
      </c>
      <c r="H20" s="53">
        <v>41402</v>
      </c>
      <c r="I20" s="53"/>
      <c r="J20" s="37">
        <v>9</v>
      </c>
      <c r="K20" s="69"/>
      <c r="L20" s="54" t="s">
        <v>148</v>
      </c>
      <c r="M20" s="54" t="s">
        <v>361</v>
      </c>
      <c r="N20" s="51">
        <v>1</v>
      </c>
      <c r="O20" s="74" t="s">
        <v>478</v>
      </c>
    </row>
    <row r="21" spans="2:15">
      <c r="B21" s="66">
        <v>13</v>
      </c>
      <c r="C21" s="47" t="s">
        <v>371</v>
      </c>
      <c r="D21" s="56">
        <v>22028</v>
      </c>
      <c r="E21" s="55" t="s">
        <v>362</v>
      </c>
      <c r="F21" s="55">
        <v>54</v>
      </c>
      <c r="G21" s="55" t="s">
        <v>38</v>
      </c>
      <c r="H21" s="57">
        <v>41977</v>
      </c>
      <c r="I21" s="57"/>
      <c r="J21" s="55">
        <v>8</v>
      </c>
      <c r="K21" s="70"/>
      <c r="L21" s="50" t="s">
        <v>148</v>
      </c>
      <c r="M21" s="50" t="s">
        <v>361</v>
      </c>
      <c r="N21" s="47">
        <v>1</v>
      </c>
      <c r="O21" s="75" t="s">
        <v>478</v>
      </c>
    </row>
    <row r="22" spans="2:15">
      <c r="B22" s="65">
        <v>9</v>
      </c>
      <c r="C22" s="51" t="s">
        <v>372</v>
      </c>
      <c r="D22" s="52">
        <v>24302</v>
      </c>
      <c r="E22" s="37" t="s">
        <v>37</v>
      </c>
      <c r="F22" s="37">
        <v>46</v>
      </c>
      <c r="G22" s="37" t="s">
        <v>38</v>
      </c>
      <c r="H22" s="53">
        <v>41434</v>
      </c>
      <c r="I22" s="53"/>
      <c r="J22" s="37">
        <v>9</v>
      </c>
      <c r="K22" s="69"/>
      <c r="L22" s="54" t="s">
        <v>148</v>
      </c>
      <c r="M22" s="54" t="s">
        <v>361</v>
      </c>
      <c r="N22" s="51">
        <v>1</v>
      </c>
      <c r="O22" s="74" t="s">
        <v>478</v>
      </c>
    </row>
    <row r="23" spans="2:15">
      <c r="B23" s="66">
        <v>62</v>
      </c>
      <c r="C23" s="47" t="s">
        <v>373</v>
      </c>
      <c r="D23" s="56">
        <v>17062</v>
      </c>
      <c r="E23" s="55" t="s">
        <v>37</v>
      </c>
      <c r="F23" s="55">
        <v>63</v>
      </c>
      <c r="G23" s="55" t="s">
        <v>363</v>
      </c>
      <c r="H23" s="57">
        <v>40409</v>
      </c>
      <c r="I23" s="57"/>
      <c r="J23" s="55">
        <v>12</v>
      </c>
      <c r="K23" s="70"/>
      <c r="L23" s="50" t="s">
        <v>148</v>
      </c>
      <c r="M23" s="50" t="s">
        <v>361</v>
      </c>
      <c r="N23" s="47">
        <v>1</v>
      </c>
      <c r="O23" s="75" t="s">
        <v>477</v>
      </c>
    </row>
    <row r="24" spans="2:15">
      <c r="B24" s="65">
        <v>46</v>
      </c>
      <c r="C24" s="51" t="s">
        <v>374</v>
      </c>
      <c r="D24" s="52">
        <v>23927</v>
      </c>
      <c r="E24" s="37" t="s">
        <v>362</v>
      </c>
      <c r="F24" s="37">
        <v>44</v>
      </c>
      <c r="G24" s="37" t="s">
        <v>38</v>
      </c>
      <c r="H24" s="53">
        <v>40122</v>
      </c>
      <c r="I24" s="53"/>
      <c r="J24" s="37">
        <v>13</v>
      </c>
      <c r="K24" s="69"/>
      <c r="L24" s="54" t="s">
        <v>148</v>
      </c>
      <c r="M24" s="54" t="s">
        <v>361</v>
      </c>
      <c r="N24" s="51">
        <v>1</v>
      </c>
      <c r="O24" s="74" t="s">
        <v>477</v>
      </c>
    </row>
    <row r="25" spans="2:15">
      <c r="B25" s="66">
        <v>77</v>
      </c>
      <c r="C25" s="47" t="s">
        <v>375</v>
      </c>
      <c r="D25" s="56">
        <v>33375</v>
      </c>
      <c r="E25" s="55" t="s">
        <v>37</v>
      </c>
      <c r="F25" s="55">
        <v>21</v>
      </c>
      <c r="G25" s="55" t="s">
        <v>38</v>
      </c>
      <c r="H25" s="57">
        <v>41178</v>
      </c>
      <c r="I25" s="57">
        <v>43312</v>
      </c>
      <c r="J25" s="55">
        <v>5</v>
      </c>
      <c r="K25" s="70" t="s">
        <v>43</v>
      </c>
      <c r="L25" s="50" t="s">
        <v>148</v>
      </c>
      <c r="M25" s="50">
        <v>27</v>
      </c>
      <c r="N25" s="47">
        <v>0</v>
      </c>
      <c r="O25" s="75" t="s">
        <v>478</v>
      </c>
    </row>
    <row r="26" spans="2:15">
      <c r="B26" s="65">
        <v>84</v>
      </c>
      <c r="C26" s="51" t="s">
        <v>376</v>
      </c>
      <c r="D26" s="52">
        <v>29020</v>
      </c>
      <c r="E26" s="37" t="s">
        <v>37</v>
      </c>
      <c r="F26" s="37">
        <v>32</v>
      </c>
      <c r="G26" s="37" t="s">
        <v>38</v>
      </c>
      <c r="H26" s="53">
        <v>40825</v>
      </c>
      <c r="I26" s="53">
        <v>42579</v>
      </c>
      <c r="J26" s="37">
        <v>4</v>
      </c>
      <c r="K26" s="69" t="s">
        <v>43</v>
      </c>
      <c r="L26" s="54" t="s">
        <v>148</v>
      </c>
      <c r="M26" s="54">
        <v>37</v>
      </c>
      <c r="N26" s="51">
        <v>0</v>
      </c>
      <c r="O26" s="74" t="s">
        <v>479</v>
      </c>
    </row>
    <row r="27" spans="2:15">
      <c r="B27" s="66">
        <v>1</v>
      </c>
      <c r="C27" s="47" t="s">
        <v>377</v>
      </c>
      <c r="D27" s="56">
        <v>21956</v>
      </c>
      <c r="E27" s="55" t="s">
        <v>37</v>
      </c>
      <c r="F27" s="55">
        <v>53</v>
      </c>
      <c r="G27" s="55" t="s">
        <v>38</v>
      </c>
      <c r="H27" s="57">
        <v>41530</v>
      </c>
      <c r="I27" s="57"/>
      <c r="J27" s="55">
        <v>9</v>
      </c>
      <c r="K27" s="70"/>
      <c r="L27" s="50" t="s">
        <v>148</v>
      </c>
      <c r="M27" s="50" t="s">
        <v>361</v>
      </c>
      <c r="N27" s="47">
        <v>1</v>
      </c>
      <c r="O27" s="75" t="s">
        <v>478</v>
      </c>
    </row>
    <row r="28" spans="2:15">
      <c r="B28" s="65">
        <v>36</v>
      </c>
      <c r="C28" s="51" t="s">
        <v>378</v>
      </c>
      <c r="D28" s="52">
        <v>24224</v>
      </c>
      <c r="E28" s="37" t="s">
        <v>362</v>
      </c>
      <c r="F28" s="37">
        <v>45</v>
      </c>
      <c r="G28" s="37" t="s">
        <v>38</v>
      </c>
      <c r="H28" s="53">
        <v>40953</v>
      </c>
      <c r="I28" s="53">
        <v>43891</v>
      </c>
      <c r="J28" s="37">
        <v>8</v>
      </c>
      <c r="K28" s="69" t="s">
        <v>80</v>
      </c>
      <c r="L28" s="54" t="s">
        <v>148</v>
      </c>
      <c r="M28" s="54">
        <v>53</v>
      </c>
      <c r="N28" s="51">
        <v>0</v>
      </c>
      <c r="O28" s="74" t="s">
        <v>478</v>
      </c>
    </row>
    <row r="29" spans="2:15">
      <c r="B29" s="66">
        <v>19</v>
      </c>
      <c r="C29" s="47" t="s">
        <v>379</v>
      </c>
      <c r="D29" s="56">
        <v>21196</v>
      </c>
      <c r="E29" s="55" t="s">
        <v>37</v>
      </c>
      <c r="F29" s="55">
        <v>54</v>
      </c>
      <c r="G29" s="55" t="s">
        <v>38</v>
      </c>
      <c r="H29" s="57">
        <v>40921</v>
      </c>
      <c r="I29" s="57">
        <v>44494</v>
      </c>
      <c r="J29" s="55">
        <v>9</v>
      </c>
      <c r="K29" s="70" t="s">
        <v>41</v>
      </c>
      <c r="L29" s="50" t="s">
        <v>148</v>
      </c>
      <c r="M29" s="50">
        <v>63</v>
      </c>
      <c r="N29" s="47">
        <v>0</v>
      </c>
      <c r="O29" s="75" t="s">
        <v>478</v>
      </c>
    </row>
    <row r="30" spans="2:15">
      <c r="B30" s="65">
        <v>55</v>
      </c>
      <c r="C30" s="51" t="s">
        <v>380</v>
      </c>
      <c r="D30" s="52">
        <v>30614</v>
      </c>
      <c r="E30" s="37" t="s">
        <v>37</v>
      </c>
      <c r="F30" s="37">
        <v>29</v>
      </c>
      <c r="G30" s="37" t="s">
        <v>38</v>
      </c>
      <c r="H30" s="53">
        <v>41370</v>
      </c>
      <c r="I30" s="53">
        <v>41645</v>
      </c>
      <c r="J30" s="37">
        <v>0</v>
      </c>
      <c r="K30" s="69" t="s">
        <v>43</v>
      </c>
      <c r="L30" s="54" t="s">
        <v>148</v>
      </c>
      <c r="M30" s="54">
        <v>30</v>
      </c>
      <c r="N30" s="51">
        <v>0</v>
      </c>
      <c r="O30" s="74" t="s">
        <v>479</v>
      </c>
    </row>
    <row r="31" spans="2:15">
      <c r="B31" s="66">
        <v>44</v>
      </c>
      <c r="C31" s="47" t="s">
        <v>381</v>
      </c>
      <c r="D31" s="56">
        <v>15594</v>
      </c>
      <c r="E31" s="55" t="s">
        <v>37</v>
      </c>
      <c r="F31" s="55">
        <v>70</v>
      </c>
      <c r="G31" s="55" t="s">
        <v>363</v>
      </c>
      <c r="H31" s="57">
        <v>41466</v>
      </c>
      <c r="I31" s="57"/>
      <c r="J31" s="55">
        <v>9</v>
      </c>
      <c r="K31" s="70"/>
      <c r="L31" s="50" t="s">
        <v>148</v>
      </c>
      <c r="M31" s="50" t="s">
        <v>361</v>
      </c>
      <c r="N31" s="47">
        <v>1</v>
      </c>
      <c r="O31" s="75" t="s">
        <v>478</v>
      </c>
    </row>
    <row r="32" spans="2:15">
      <c r="B32" s="65">
        <v>18</v>
      </c>
      <c r="C32" s="51" t="s">
        <v>382</v>
      </c>
      <c r="D32" s="52">
        <v>34241</v>
      </c>
      <c r="E32" s="37" t="s">
        <v>362</v>
      </c>
      <c r="F32" s="37">
        <v>17</v>
      </c>
      <c r="G32" s="37" t="s">
        <v>38</v>
      </c>
      <c r="H32" s="53">
        <v>40601</v>
      </c>
      <c r="I32" s="53">
        <v>43800</v>
      </c>
      <c r="J32" s="37">
        <v>8</v>
      </c>
      <c r="K32" s="69" t="s">
        <v>60</v>
      </c>
      <c r="L32" s="54" t="s">
        <v>148</v>
      </c>
      <c r="M32" s="54">
        <v>26</v>
      </c>
      <c r="N32" s="51">
        <v>0</v>
      </c>
      <c r="O32" s="74" t="s">
        <v>478</v>
      </c>
    </row>
    <row r="33" spans="2:15">
      <c r="B33" s="66">
        <v>97</v>
      </c>
      <c r="C33" s="47" t="s">
        <v>383</v>
      </c>
      <c r="D33" s="56">
        <v>24140</v>
      </c>
      <c r="E33" s="55" t="s">
        <v>362</v>
      </c>
      <c r="F33" s="55">
        <v>45</v>
      </c>
      <c r="G33" s="55" t="s">
        <v>38</v>
      </c>
      <c r="H33" s="57">
        <v>40761</v>
      </c>
      <c r="I33" s="57"/>
      <c r="J33" s="55">
        <v>11</v>
      </c>
      <c r="K33" s="70"/>
      <c r="L33" s="50" t="s">
        <v>148</v>
      </c>
      <c r="M33" s="50" t="s">
        <v>361</v>
      </c>
      <c r="N33" s="47">
        <v>1</v>
      </c>
      <c r="O33" s="75" t="s">
        <v>477</v>
      </c>
    </row>
    <row r="34" spans="2:15">
      <c r="B34" s="65">
        <v>40</v>
      </c>
      <c r="C34" s="51" t="s">
        <v>384</v>
      </c>
      <c r="D34" s="52">
        <v>24595</v>
      </c>
      <c r="E34" s="37" t="s">
        <v>37</v>
      </c>
      <c r="F34" s="37">
        <v>44</v>
      </c>
      <c r="G34" s="37" t="s">
        <v>38</v>
      </c>
      <c r="H34" s="53">
        <v>40889</v>
      </c>
      <c r="I34" s="53">
        <v>44112</v>
      </c>
      <c r="J34" s="37">
        <v>8</v>
      </c>
      <c r="K34" s="69" t="s">
        <v>60</v>
      </c>
      <c r="L34" s="54" t="s">
        <v>148</v>
      </c>
      <c r="M34" s="54">
        <v>53</v>
      </c>
      <c r="N34" s="51">
        <v>0</v>
      </c>
      <c r="O34" s="74" t="s">
        <v>478</v>
      </c>
    </row>
    <row r="35" spans="2:15">
      <c r="B35" s="66">
        <v>5</v>
      </c>
      <c r="C35" s="47" t="s">
        <v>385</v>
      </c>
      <c r="D35" s="56">
        <v>32924</v>
      </c>
      <c r="E35" s="55" t="s">
        <v>37</v>
      </c>
      <c r="F35" s="55">
        <v>19</v>
      </c>
      <c r="G35" s="55" t="s">
        <v>38</v>
      </c>
      <c r="H35" s="57">
        <v>40058</v>
      </c>
      <c r="I35" s="57"/>
      <c r="J35" s="55">
        <v>13</v>
      </c>
      <c r="K35" s="70"/>
      <c r="L35" s="50" t="s">
        <v>152</v>
      </c>
      <c r="M35" s="50" t="s">
        <v>361</v>
      </c>
      <c r="N35" s="47">
        <v>1</v>
      </c>
      <c r="O35" s="75" t="s">
        <v>477</v>
      </c>
    </row>
    <row r="36" spans="2:15">
      <c r="B36" s="65">
        <v>71</v>
      </c>
      <c r="C36" s="51" t="s">
        <v>386</v>
      </c>
      <c r="D36" s="52">
        <v>27582</v>
      </c>
      <c r="E36" s="37" t="s">
        <v>37</v>
      </c>
      <c r="F36" s="37">
        <v>38</v>
      </c>
      <c r="G36" s="37" t="s">
        <v>38</v>
      </c>
      <c r="H36" s="53">
        <v>41594</v>
      </c>
      <c r="I36" s="53">
        <v>41773</v>
      </c>
      <c r="J36" s="37">
        <v>0</v>
      </c>
      <c r="K36" s="69" t="s">
        <v>41</v>
      </c>
      <c r="L36" s="54" t="s">
        <v>152</v>
      </c>
      <c r="M36" s="54">
        <v>38</v>
      </c>
      <c r="N36" s="51">
        <v>0</v>
      </c>
      <c r="O36" s="74" t="s">
        <v>479</v>
      </c>
    </row>
    <row r="37" spans="2:15">
      <c r="B37" s="66">
        <v>94</v>
      </c>
      <c r="C37" s="47" t="s">
        <v>387</v>
      </c>
      <c r="D37" s="56">
        <v>21594</v>
      </c>
      <c r="E37" s="55" t="s">
        <v>362</v>
      </c>
      <c r="F37" s="55">
        <v>52</v>
      </c>
      <c r="G37" s="55" t="s">
        <v>38</v>
      </c>
      <c r="H37" s="57">
        <v>40665</v>
      </c>
      <c r="I37" s="57">
        <v>42641</v>
      </c>
      <c r="J37" s="55">
        <v>5</v>
      </c>
      <c r="K37" s="70" t="s">
        <v>41</v>
      </c>
      <c r="L37" s="50" t="s">
        <v>152</v>
      </c>
      <c r="M37" s="50">
        <v>57</v>
      </c>
      <c r="N37" s="47">
        <v>0</v>
      </c>
      <c r="O37" s="75" t="s">
        <v>478</v>
      </c>
    </row>
    <row r="38" spans="2:15">
      <c r="B38" s="65">
        <v>100</v>
      </c>
      <c r="C38" s="51" t="s">
        <v>388</v>
      </c>
      <c r="D38" s="52">
        <v>24923</v>
      </c>
      <c r="E38" s="37" t="s">
        <v>362</v>
      </c>
      <c r="F38" s="37">
        <v>40</v>
      </c>
      <c r="G38" s="37" t="s">
        <v>38</v>
      </c>
      <c r="H38" s="53">
        <v>39546</v>
      </c>
      <c r="I38" s="53">
        <v>41320</v>
      </c>
      <c r="J38" s="37">
        <v>4</v>
      </c>
      <c r="K38" s="69" t="s">
        <v>43</v>
      </c>
      <c r="L38" s="54" t="s">
        <v>152</v>
      </c>
      <c r="M38" s="54">
        <v>44</v>
      </c>
      <c r="N38" s="51">
        <v>0</v>
      </c>
      <c r="O38" s="74" t="s">
        <v>479</v>
      </c>
    </row>
    <row r="39" spans="2:15">
      <c r="B39" s="66">
        <v>25</v>
      </c>
      <c r="C39" s="47" t="s">
        <v>389</v>
      </c>
      <c r="D39" s="56">
        <v>33931</v>
      </c>
      <c r="E39" s="55" t="s">
        <v>37</v>
      </c>
      <c r="F39" s="55">
        <v>21</v>
      </c>
      <c r="G39" s="55" t="s">
        <v>38</v>
      </c>
      <c r="H39" s="57">
        <v>41690</v>
      </c>
      <c r="I39" s="57"/>
      <c r="J39" s="55">
        <v>8</v>
      </c>
      <c r="K39" s="70"/>
      <c r="L39" s="50" t="s">
        <v>152</v>
      </c>
      <c r="M39" s="50" t="s">
        <v>361</v>
      </c>
      <c r="N39" s="47">
        <v>1</v>
      </c>
      <c r="O39" s="75" t="s">
        <v>478</v>
      </c>
    </row>
    <row r="40" spans="2:15">
      <c r="B40" s="65">
        <v>74</v>
      </c>
      <c r="C40" s="51" t="s">
        <v>390</v>
      </c>
      <c r="D40" s="52">
        <v>22060</v>
      </c>
      <c r="E40" s="37" t="s">
        <v>362</v>
      </c>
      <c r="F40" s="37">
        <v>51</v>
      </c>
      <c r="G40" s="37" t="s">
        <v>38</v>
      </c>
      <c r="H40" s="53">
        <v>40729</v>
      </c>
      <c r="I40" s="53"/>
      <c r="J40" s="37">
        <v>11</v>
      </c>
      <c r="K40" s="69"/>
      <c r="L40" s="54" t="s">
        <v>152</v>
      </c>
      <c r="M40" s="54" t="s">
        <v>361</v>
      </c>
      <c r="N40" s="51">
        <v>1</v>
      </c>
      <c r="O40" s="74" t="s">
        <v>477</v>
      </c>
    </row>
    <row r="41" spans="2:15">
      <c r="B41" s="66">
        <v>45</v>
      </c>
      <c r="C41" s="47" t="s">
        <v>391</v>
      </c>
      <c r="D41" s="56">
        <v>26689</v>
      </c>
      <c r="E41" s="55" t="s">
        <v>37</v>
      </c>
      <c r="F41" s="55">
        <v>42</v>
      </c>
      <c r="G41" s="55" t="s">
        <v>38</v>
      </c>
      <c r="H41" s="57">
        <v>42041</v>
      </c>
      <c r="I41" s="57"/>
      <c r="J41" s="55">
        <v>7</v>
      </c>
      <c r="K41" s="70"/>
      <c r="L41" s="50" t="s">
        <v>152</v>
      </c>
      <c r="M41" s="50" t="s">
        <v>361</v>
      </c>
      <c r="N41" s="47">
        <v>1</v>
      </c>
      <c r="O41" s="75" t="s">
        <v>478</v>
      </c>
    </row>
    <row r="42" spans="2:15">
      <c r="B42" s="65">
        <v>30</v>
      </c>
      <c r="C42" s="51" t="s">
        <v>392</v>
      </c>
      <c r="D42" s="52">
        <v>33220</v>
      </c>
      <c r="E42" s="37" t="s">
        <v>362</v>
      </c>
      <c r="F42" s="37">
        <v>16</v>
      </c>
      <c r="G42" s="37" t="s">
        <v>38</v>
      </c>
      <c r="H42" s="53">
        <v>39417</v>
      </c>
      <c r="I42" s="53"/>
      <c r="J42" s="37">
        <v>15</v>
      </c>
      <c r="K42" s="69"/>
      <c r="L42" s="54" t="s">
        <v>152</v>
      </c>
      <c r="M42" s="54" t="s">
        <v>361</v>
      </c>
      <c r="N42" s="51">
        <v>1</v>
      </c>
      <c r="O42" s="74" t="s">
        <v>477</v>
      </c>
    </row>
    <row r="43" spans="2:15">
      <c r="B43" s="66">
        <v>20</v>
      </c>
      <c r="C43" s="47" t="s">
        <v>393</v>
      </c>
      <c r="D43" s="56">
        <v>18715</v>
      </c>
      <c r="E43" s="55" t="s">
        <v>37</v>
      </c>
      <c r="F43" s="55">
        <v>64</v>
      </c>
      <c r="G43" s="55" t="s">
        <v>363</v>
      </c>
      <c r="H43" s="57">
        <v>42233</v>
      </c>
      <c r="I43" s="57"/>
      <c r="J43" s="55">
        <v>7</v>
      </c>
      <c r="K43" s="70"/>
      <c r="L43" s="50" t="s">
        <v>152</v>
      </c>
      <c r="M43" s="50" t="s">
        <v>361</v>
      </c>
      <c r="N43" s="47">
        <v>1</v>
      </c>
      <c r="O43" s="75" t="s">
        <v>478</v>
      </c>
    </row>
    <row r="44" spans="2:15">
      <c r="B44" s="65">
        <v>47</v>
      </c>
      <c r="C44" s="51" t="s">
        <v>394</v>
      </c>
      <c r="D44" s="52">
        <v>21994</v>
      </c>
      <c r="E44" s="37" t="s">
        <v>37</v>
      </c>
      <c r="F44" s="37">
        <v>47</v>
      </c>
      <c r="G44" s="37" t="s">
        <v>38</v>
      </c>
      <c r="H44" s="53">
        <v>39257</v>
      </c>
      <c r="I44" s="53"/>
      <c r="J44" s="37">
        <v>15</v>
      </c>
      <c r="K44" s="69"/>
      <c r="L44" s="54" t="s">
        <v>152</v>
      </c>
      <c r="M44" s="54" t="s">
        <v>361</v>
      </c>
      <c r="N44" s="51">
        <v>1</v>
      </c>
      <c r="O44" s="74" t="s">
        <v>477</v>
      </c>
    </row>
    <row r="45" spans="2:15">
      <c r="B45" s="66">
        <v>65</v>
      </c>
      <c r="C45" s="47" t="s">
        <v>395</v>
      </c>
      <c r="D45" s="56">
        <v>26823</v>
      </c>
      <c r="E45" s="55" t="s">
        <v>37</v>
      </c>
      <c r="F45" s="55">
        <v>40</v>
      </c>
      <c r="G45" s="55" t="s">
        <v>38</v>
      </c>
      <c r="H45" s="57">
        <v>41626</v>
      </c>
      <c r="I45" s="57">
        <v>42166</v>
      </c>
      <c r="J45" s="55">
        <v>1</v>
      </c>
      <c r="K45" s="70" t="s">
        <v>41</v>
      </c>
      <c r="L45" s="50" t="s">
        <v>152</v>
      </c>
      <c r="M45" s="50">
        <v>42</v>
      </c>
      <c r="N45" s="47">
        <v>0</v>
      </c>
      <c r="O45" s="75" t="s">
        <v>479</v>
      </c>
    </row>
    <row r="46" spans="2:15">
      <c r="B46" s="65">
        <v>14</v>
      </c>
      <c r="C46" s="51" t="s">
        <v>396</v>
      </c>
      <c r="D46" s="52">
        <v>31506</v>
      </c>
      <c r="E46" s="37" t="s">
        <v>37</v>
      </c>
      <c r="F46" s="37">
        <v>24</v>
      </c>
      <c r="G46" s="37" t="s">
        <v>38</v>
      </c>
      <c r="H46" s="53">
        <v>40377</v>
      </c>
      <c r="I46" s="53">
        <v>42856</v>
      </c>
      <c r="J46" s="37">
        <v>6</v>
      </c>
      <c r="K46" s="69" t="s">
        <v>43</v>
      </c>
      <c r="L46" s="54" t="s">
        <v>152</v>
      </c>
      <c r="M46" s="54">
        <v>31</v>
      </c>
      <c r="N46" s="51">
        <v>0</v>
      </c>
      <c r="O46" s="74" t="s">
        <v>478</v>
      </c>
    </row>
    <row r="47" spans="2:15">
      <c r="B47" s="66">
        <v>76</v>
      </c>
      <c r="C47" s="47" t="s">
        <v>397</v>
      </c>
      <c r="D47" s="56">
        <v>23629</v>
      </c>
      <c r="E47" s="55" t="s">
        <v>37</v>
      </c>
      <c r="F47" s="55">
        <v>50</v>
      </c>
      <c r="G47" s="55" t="s">
        <v>38</v>
      </c>
      <c r="H47" s="57">
        <v>41945</v>
      </c>
      <c r="I47" s="57"/>
      <c r="J47" s="55">
        <v>8</v>
      </c>
      <c r="K47" s="70"/>
      <c r="L47" s="50" t="s">
        <v>155</v>
      </c>
      <c r="M47" s="50" t="s">
        <v>361</v>
      </c>
      <c r="N47" s="47">
        <v>1</v>
      </c>
      <c r="O47" s="75" t="s">
        <v>478</v>
      </c>
    </row>
    <row r="48" spans="2:15">
      <c r="B48" s="65">
        <v>8</v>
      </c>
      <c r="C48" s="51" t="s">
        <v>398</v>
      </c>
      <c r="D48" s="52">
        <v>32759</v>
      </c>
      <c r="E48" s="37" t="s">
        <v>37</v>
      </c>
      <c r="F48" s="37">
        <v>19</v>
      </c>
      <c r="G48" s="37" t="s">
        <v>38</v>
      </c>
      <c r="H48" s="53">
        <v>39706</v>
      </c>
      <c r="I48" s="53">
        <v>42633</v>
      </c>
      <c r="J48" s="37">
        <v>8</v>
      </c>
      <c r="K48" s="69" t="s">
        <v>49</v>
      </c>
      <c r="L48" s="54" t="s">
        <v>155</v>
      </c>
      <c r="M48" s="54">
        <v>27</v>
      </c>
      <c r="N48" s="51">
        <v>0</v>
      </c>
      <c r="O48" s="74" t="s">
        <v>478</v>
      </c>
    </row>
    <row r="49" spans="2:15">
      <c r="B49" s="66">
        <v>51</v>
      </c>
      <c r="C49" s="47" t="s">
        <v>399</v>
      </c>
      <c r="D49" s="56">
        <v>28427</v>
      </c>
      <c r="E49" s="55" t="s">
        <v>37</v>
      </c>
      <c r="F49" s="55">
        <v>35</v>
      </c>
      <c r="G49" s="55" t="s">
        <v>38</v>
      </c>
      <c r="H49" s="57">
        <v>41306</v>
      </c>
      <c r="I49" s="57">
        <v>43946</v>
      </c>
      <c r="J49" s="55">
        <v>7</v>
      </c>
      <c r="K49" s="70" t="s">
        <v>64</v>
      </c>
      <c r="L49" s="50" t="s">
        <v>155</v>
      </c>
      <c r="M49" s="50">
        <v>42</v>
      </c>
      <c r="N49" s="47">
        <v>0</v>
      </c>
      <c r="O49" s="75" t="s">
        <v>478</v>
      </c>
    </row>
    <row r="50" spans="2:15">
      <c r="B50" s="65">
        <v>41</v>
      </c>
      <c r="C50" s="51" t="s">
        <v>400</v>
      </c>
      <c r="D50" s="52">
        <v>33477</v>
      </c>
      <c r="E50" s="37" t="s">
        <v>362</v>
      </c>
      <c r="F50" s="37">
        <v>16</v>
      </c>
      <c r="G50" s="37" t="s">
        <v>38</v>
      </c>
      <c r="H50" s="53">
        <v>39514</v>
      </c>
      <c r="I50" s="53">
        <v>39699</v>
      </c>
      <c r="J50" s="37">
        <v>0</v>
      </c>
      <c r="K50" s="69" t="s">
        <v>49</v>
      </c>
      <c r="L50" s="54" t="s">
        <v>155</v>
      </c>
      <c r="M50" s="54">
        <v>17</v>
      </c>
      <c r="N50" s="51">
        <v>0</v>
      </c>
      <c r="O50" s="74" t="s">
        <v>479</v>
      </c>
    </row>
    <row r="51" spans="2:15">
      <c r="B51" s="66">
        <v>83</v>
      </c>
      <c r="C51" s="47" t="s">
        <v>401</v>
      </c>
      <c r="D51" s="56">
        <v>15393</v>
      </c>
      <c r="E51" s="55" t="s">
        <v>362</v>
      </c>
      <c r="F51" s="55">
        <v>69</v>
      </c>
      <c r="G51" s="55" t="s">
        <v>363</v>
      </c>
      <c r="H51" s="57">
        <v>40697</v>
      </c>
      <c r="I51" s="57">
        <v>44045</v>
      </c>
      <c r="J51" s="55">
        <v>9</v>
      </c>
      <c r="K51" s="70" t="s">
        <v>43</v>
      </c>
      <c r="L51" s="50" t="s">
        <v>155</v>
      </c>
      <c r="M51" s="50">
        <v>78</v>
      </c>
      <c r="N51" s="47">
        <v>0</v>
      </c>
      <c r="O51" s="75" t="s">
        <v>478</v>
      </c>
    </row>
    <row r="52" spans="2:15">
      <c r="B52" s="65">
        <v>39</v>
      </c>
      <c r="C52" s="51" t="s">
        <v>402</v>
      </c>
      <c r="D52" s="52">
        <v>25911</v>
      </c>
      <c r="E52" s="37" t="s">
        <v>362</v>
      </c>
      <c r="F52" s="37">
        <v>36</v>
      </c>
      <c r="G52" s="37" t="s">
        <v>38</v>
      </c>
      <c r="H52" s="53">
        <v>39097</v>
      </c>
      <c r="I52" s="53">
        <v>39334</v>
      </c>
      <c r="J52" s="37">
        <v>0</v>
      </c>
      <c r="K52" s="69" t="s">
        <v>41</v>
      </c>
      <c r="L52" s="54" t="s">
        <v>155</v>
      </c>
      <c r="M52" s="54">
        <v>36</v>
      </c>
      <c r="N52" s="51">
        <v>0</v>
      </c>
      <c r="O52" s="74" t="s">
        <v>479</v>
      </c>
    </row>
    <row r="53" spans="2:15">
      <c r="B53" s="66">
        <v>54</v>
      </c>
      <c r="C53" s="47" t="s">
        <v>403</v>
      </c>
      <c r="D53" s="56">
        <v>27879</v>
      </c>
      <c r="E53" s="55" t="s">
        <v>362</v>
      </c>
      <c r="F53" s="55">
        <v>38</v>
      </c>
      <c r="G53" s="55" t="s">
        <v>38</v>
      </c>
      <c r="H53" s="57">
        <v>41913</v>
      </c>
      <c r="I53" s="57"/>
      <c r="J53" s="55">
        <v>8</v>
      </c>
      <c r="K53" s="70"/>
      <c r="L53" s="50" t="s">
        <v>155</v>
      </c>
      <c r="M53" s="50" t="s">
        <v>361</v>
      </c>
      <c r="N53" s="47">
        <v>1</v>
      </c>
      <c r="O53" s="75" t="s">
        <v>478</v>
      </c>
    </row>
    <row r="54" spans="2:15">
      <c r="B54" s="65">
        <v>69</v>
      </c>
      <c r="C54" s="51" t="s">
        <v>404</v>
      </c>
      <c r="D54" s="52">
        <v>29875</v>
      </c>
      <c r="E54" s="37" t="s">
        <v>362</v>
      </c>
      <c r="F54" s="37">
        <v>25</v>
      </c>
      <c r="G54" s="37" t="s">
        <v>38</v>
      </c>
      <c r="H54" s="53">
        <v>39321</v>
      </c>
      <c r="I54" s="53"/>
      <c r="J54" s="37">
        <v>15</v>
      </c>
      <c r="K54" s="69"/>
      <c r="L54" s="54" t="s">
        <v>155</v>
      </c>
      <c r="M54" s="54" t="s">
        <v>361</v>
      </c>
      <c r="N54" s="51">
        <v>1</v>
      </c>
      <c r="O54" s="74" t="s">
        <v>477</v>
      </c>
    </row>
    <row r="55" spans="2:15">
      <c r="B55" s="66">
        <v>42</v>
      </c>
      <c r="C55" s="47" t="s">
        <v>405</v>
      </c>
      <c r="D55" s="56">
        <v>21710</v>
      </c>
      <c r="E55" s="55" t="s">
        <v>37</v>
      </c>
      <c r="F55" s="55">
        <v>50</v>
      </c>
      <c r="G55" s="55" t="s">
        <v>38</v>
      </c>
      <c r="H55" s="57">
        <v>40186</v>
      </c>
      <c r="I55" s="57">
        <v>42650</v>
      </c>
      <c r="J55" s="55">
        <v>6</v>
      </c>
      <c r="K55" s="70" t="s">
        <v>41</v>
      </c>
      <c r="L55" s="50" t="s">
        <v>155</v>
      </c>
      <c r="M55" s="50">
        <v>57</v>
      </c>
      <c r="N55" s="47">
        <v>0</v>
      </c>
      <c r="O55" s="75" t="s">
        <v>478</v>
      </c>
    </row>
    <row r="56" spans="2:15">
      <c r="B56" s="65">
        <v>34</v>
      </c>
      <c r="C56" s="51" t="s">
        <v>406</v>
      </c>
      <c r="D56" s="52">
        <v>21569</v>
      </c>
      <c r="E56" s="37" t="s">
        <v>37</v>
      </c>
      <c r="F56" s="37">
        <v>55</v>
      </c>
      <c r="G56" s="37" t="s">
        <v>38</v>
      </c>
      <c r="H56" s="53">
        <v>41721</v>
      </c>
      <c r="I56" s="53">
        <v>43575</v>
      </c>
      <c r="J56" s="37">
        <v>5</v>
      </c>
      <c r="K56" s="69" t="s">
        <v>43</v>
      </c>
      <c r="L56" s="54" t="s">
        <v>153</v>
      </c>
      <c r="M56" s="54">
        <v>60</v>
      </c>
      <c r="N56" s="51">
        <v>0</v>
      </c>
      <c r="O56" s="74" t="s">
        <v>478</v>
      </c>
    </row>
    <row r="57" spans="2:15">
      <c r="B57" s="66">
        <v>89</v>
      </c>
      <c r="C57" s="47" t="s">
        <v>407</v>
      </c>
      <c r="D57" s="56">
        <v>30489</v>
      </c>
      <c r="E57" s="55" t="s">
        <v>362</v>
      </c>
      <c r="F57" s="55">
        <v>26</v>
      </c>
      <c r="G57" s="55" t="s">
        <v>38</v>
      </c>
      <c r="H57" s="57">
        <v>40313</v>
      </c>
      <c r="I57" s="57"/>
      <c r="J57" s="55">
        <v>12</v>
      </c>
      <c r="K57" s="70"/>
      <c r="L57" s="50" t="s">
        <v>153</v>
      </c>
      <c r="M57" s="50" t="s">
        <v>361</v>
      </c>
      <c r="N57" s="47">
        <v>1</v>
      </c>
      <c r="O57" s="75" t="s">
        <v>477</v>
      </c>
    </row>
    <row r="58" spans="2:15">
      <c r="B58" s="65">
        <v>92</v>
      </c>
      <c r="C58" s="51" t="s">
        <v>408</v>
      </c>
      <c r="D58" s="52">
        <v>31700</v>
      </c>
      <c r="E58" s="37" t="s">
        <v>37</v>
      </c>
      <c r="F58" s="37">
        <v>24</v>
      </c>
      <c r="G58" s="37" t="s">
        <v>38</v>
      </c>
      <c r="H58" s="53">
        <v>40505</v>
      </c>
      <c r="I58" s="53">
        <v>44492</v>
      </c>
      <c r="J58" s="37">
        <v>10</v>
      </c>
      <c r="K58" s="69" t="s">
        <v>60</v>
      </c>
      <c r="L58" s="54" t="s">
        <v>153</v>
      </c>
      <c r="M58" s="54">
        <v>35</v>
      </c>
      <c r="N58" s="51">
        <v>0</v>
      </c>
      <c r="O58" s="74" t="s">
        <v>477</v>
      </c>
    </row>
    <row r="59" spans="2:15">
      <c r="B59" s="66">
        <v>53</v>
      </c>
      <c r="C59" s="47" t="s">
        <v>409</v>
      </c>
      <c r="D59" s="56">
        <v>30057</v>
      </c>
      <c r="E59" s="55" t="s">
        <v>362</v>
      </c>
      <c r="F59" s="55">
        <v>27</v>
      </c>
      <c r="G59" s="55" t="s">
        <v>38</v>
      </c>
      <c r="H59" s="57">
        <v>40218</v>
      </c>
      <c r="I59" s="57">
        <v>43883</v>
      </c>
      <c r="J59" s="55">
        <v>10</v>
      </c>
      <c r="K59" s="70" t="s">
        <v>43</v>
      </c>
      <c r="L59" s="50" t="s">
        <v>153</v>
      </c>
      <c r="M59" s="50">
        <v>37</v>
      </c>
      <c r="N59" s="47">
        <v>0</v>
      </c>
      <c r="O59" s="75" t="s">
        <v>477</v>
      </c>
    </row>
    <row r="60" spans="2:15">
      <c r="B60" s="65">
        <v>26</v>
      </c>
      <c r="C60" s="51" t="s">
        <v>410</v>
      </c>
      <c r="D60" s="52">
        <v>27653</v>
      </c>
      <c r="E60" s="37" t="s">
        <v>362</v>
      </c>
      <c r="F60" s="37">
        <v>34</v>
      </c>
      <c r="G60" s="37" t="s">
        <v>38</v>
      </c>
      <c r="H60" s="53">
        <v>40154</v>
      </c>
      <c r="I60" s="53">
        <v>42329</v>
      </c>
      <c r="J60" s="37">
        <v>5</v>
      </c>
      <c r="K60" s="69" t="s">
        <v>43</v>
      </c>
      <c r="L60" s="54" t="s">
        <v>153</v>
      </c>
      <c r="M60" s="54">
        <v>40</v>
      </c>
      <c r="N60" s="51">
        <v>0</v>
      </c>
      <c r="O60" s="74" t="s">
        <v>478</v>
      </c>
    </row>
    <row r="61" spans="2:15">
      <c r="B61" s="66">
        <v>23</v>
      </c>
      <c r="C61" s="47" t="s">
        <v>411</v>
      </c>
      <c r="D61" s="56">
        <v>17031</v>
      </c>
      <c r="E61" s="55" t="s">
        <v>37</v>
      </c>
      <c r="F61" s="55">
        <v>67</v>
      </c>
      <c r="G61" s="55" t="s">
        <v>363</v>
      </c>
      <c r="H61" s="57">
        <v>41753</v>
      </c>
      <c r="I61" s="57">
        <v>42085</v>
      </c>
      <c r="J61" s="55">
        <v>0</v>
      </c>
      <c r="K61" s="70" t="s">
        <v>49</v>
      </c>
      <c r="L61" s="50" t="s">
        <v>153</v>
      </c>
      <c r="M61" s="50">
        <v>68</v>
      </c>
      <c r="N61" s="47">
        <v>0</v>
      </c>
      <c r="O61" s="75" t="s">
        <v>479</v>
      </c>
    </row>
    <row r="62" spans="2:15">
      <c r="B62" s="65">
        <v>43</v>
      </c>
      <c r="C62" s="51" t="s">
        <v>412</v>
      </c>
      <c r="D62" s="52">
        <v>29095</v>
      </c>
      <c r="E62" s="37" t="s">
        <v>37</v>
      </c>
      <c r="F62" s="37">
        <v>34</v>
      </c>
      <c r="G62" s="37" t="s">
        <v>38</v>
      </c>
      <c r="H62" s="53">
        <v>41658</v>
      </c>
      <c r="I62" s="53">
        <v>42149</v>
      </c>
      <c r="J62" s="37">
        <v>1</v>
      </c>
      <c r="K62" s="69" t="s">
        <v>80</v>
      </c>
      <c r="L62" s="54" t="s">
        <v>153</v>
      </c>
      <c r="M62" s="54">
        <v>35</v>
      </c>
      <c r="N62" s="51">
        <v>0</v>
      </c>
      <c r="O62" s="74" t="s">
        <v>479</v>
      </c>
    </row>
    <row r="63" spans="2:15">
      <c r="B63" s="66">
        <v>96</v>
      </c>
      <c r="C63" s="47" t="s">
        <v>413</v>
      </c>
      <c r="D63" s="56">
        <v>28324</v>
      </c>
      <c r="E63" s="55" t="s">
        <v>37</v>
      </c>
      <c r="F63" s="55">
        <v>33</v>
      </c>
      <c r="G63" s="55" t="s">
        <v>38</v>
      </c>
      <c r="H63" s="57">
        <v>40441</v>
      </c>
      <c r="I63" s="57">
        <v>43414</v>
      </c>
      <c r="J63" s="55">
        <v>8</v>
      </c>
      <c r="K63" s="70" t="s">
        <v>43</v>
      </c>
      <c r="L63" s="50" t="s">
        <v>153</v>
      </c>
      <c r="M63" s="50">
        <v>41</v>
      </c>
      <c r="N63" s="47">
        <v>0</v>
      </c>
      <c r="O63" s="75" t="s">
        <v>478</v>
      </c>
    </row>
    <row r="64" spans="2:15">
      <c r="B64" s="65">
        <v>6</v>
      </c>
      <c r="C64" s="51" t="s">
        <v>414</v>
      </c>
      <c r="D64" s="52">
        <v>14246</v>
      </c>
      <c r="E64" s="37" t="s">
        <v>37</v>
      </c>
      <c r="F64" s="37">
        <v>75</v>
      </c>
      <c r="G64" s="37" t="s">
        <v>363</v>
      </c>
      <c r="H64" s="53">
        <v>41881</v>
      </c>
      <c r="I64" s="53">
        <v>43076</v>
      </c>
      <c r="J64" s="37">
        <v>3</v>
      </c>
      <c r="K64" s="69" t="s">
        <v>43</v>
      </c>
      <c r="L64" s="54" t="s">
        <v>153</v>
      </c>
      <c r="M64" s="54">
        <v>78</v>
      </c>
      <c r="N64" s="51">
        <v>0</v>
      </c>
      <c r="O64" s="74" t="s">
        <v>479</v>
      </c>
    </row>
    <row r="65" spans="2:15">
      <c r="B65" s="66">
        <v>11</v>
      </c>
      <c r="C65" s="47" t="s">
        <v>415</v>
      </c>
      <c r="D65" s="56">
        <v>19494</v>
      </c>
      <c r="E65" s="55" t="s">
        <v>37</v>
      </c>
      <c r="F65" s="55">
        <v>59</v>
      </c>
      <c r="G65" s="55" t="s">
        <v>38</v>
      </c>
      <c r="H65" s="57">
        <v>41114</v>
      </c>
      <c r="I65" s="57">
        <v>44251</v>
      </c>
      <c r="J65" s="55">
        <v>8</v>
      </c>
      <c r="K65" s="70" t="s">
        <v>43</v>
      </c>
      <c r="L65" s="50" t="s">
        <v>153</v>
      </c>
      <c r="M65" s="50">
        <v>67</v>
      </c>
      <c r="N65" s="47">
        <v>0</v>
      </c>
      <c r="O65" s="75" t="s">
        <v>478</v>
      </c>
    </row>
    <row r="66" spans="2:15">
      <c r="B66" s="65">
        <v>29</v>
      </c>
      <c r="C66" s="51" t="s">
        <v>416</v>
      </c>
      <c r="D66" s="52">
        <v>33895</v>
      </c>
      <c r="E66" s="37" t="s">
        <v>37</v>
      </c>
      <c r="F66" s="37">
        <v>16</v>
      </c>
      <c r="G66" s="37" t="s">
        <v>38</v>
      </c>
      <c r="H66" s="53">
        <v>39898</v>
      </c>
      <c r="I66" s="53">
        <v>39910</v>
      </c>
      <c r="J66" s="37">
        <v>0</v>
      </c>
      <c r="K66" s="69" t="s">
        <v>43</v>
      </c>
      <c r="L66" s="54" t="s">
        <v>154</v>
      </c>
      <c r="M66" s="54">
        <v>16</v>
      </c>
      <c r="N66" s="51">
        <v>0</v>
      </c>
      <c r="O66" s="74" t="s">
        <v>479</v>
      </c>
    </row>
    <row r="67" spans="2:15">
      <c r="B67" s="66">
        <v>86</v>
      </c>
      <c r="C67" s="47" t="s">
        <v>417</v>
      </c>
      <c r="D67" s="56">
        <v>33108</v>
      </c>
      <c r="E67" s="55" t="s">
        <v>362</v>
      </c>
      <c r="F67" s="55">
        <v>23</v>
      </c>
      <c r="G67" s="55" t="s">
        <v>38</v>
      </c>
      <c r="H67" s="57">
        <v>41562</v>
      </c>
      <c r="I67" s="57"/>
      <c r="J67" s="55">
        <v>9</v>
      </c>
      <c r="K67" s="70"/>
      <c r="L67" s="50" t="s">
        <v>154</v>
      </c>
      <c r="M67" s="50" t="s">
        <v>361</v>
      </c>
      <c r="N67" s="47">
        <v>1</v>
      </c>
      <c r="O67" s="75" t="s">
        <v>478</v>
      </c>
    </row>
    <row r="68" spans="2:15">
      <c r="B68" s="65">
        <v>33</v>
      </c>
      <c r="C68" s="51" t="s">
        <v>418</v>
      </c>
      <c r="D68" s="52">
        <v>22516</v>
      </c>
      <c r="E68" s="37" t="s">
        <v>37</v>
      </c>
      <c r="F68" s="37">
        <v>46</v>
      </c>
      <c r="G68" s="37" t="s">
        <v>38</v>
      </c>
      <c r="H68" s="53">
        <v>39674</v>
      </c>
      <c r="I68" s="53">
        <v>42213</v>
      </c>
      <c r="J68" s="37">
        <v>6</v>
      </c>
      <c r="K68" s="69" t="s">
        <v>41</v>
      </c>
      <c r="L68" s="54" t="s">
        <v>154</v>
      </c>
      <c r="M68" s="54">
        <v>53</v>
      </c>
      <c r="N68" s="51">
        <v>0</v>
      </c>
      <c r="O68" s="74" t="s">
        <v>478</v>
      </c>
    </row>
    <row r="69" spans="2:15">
      <c r="B69" s="66">
        <v>66</v>
      </c>
      <c r="C69" s="47" t="s">
        <v>419</v>
      </c>
      <c r="D69" s="56">
        <v>28525</v>
      </c>
      <c r="E69" s="55" t="s">
        <v>362</v>
      </c>
      <c r="F69" s="55">
        <v>32</v>
      </c>
      <c r="G69" s="55" t="s">
        <v>38</v>
      </c>
      <c r="H69" s="57">
        <v>40473</v>
      </c>
      <c r="I69" s="57">
        <v>41983</v>
      </c>
      <c r="J69" s="55">
        <v>4</v>
      </c>
      <c r="K69" s="70" t="s">
        <v>43</v>
      </c>
      <c r="L69" s="50" t="s">
        <v>154</v>
      </c>
      <c r="M69" s="50">
        <v>36</v>
      </c>
      <c r="N69" s="47">
        <v>0</v>
      </c>
      <c r="O69" s="75" t="s">
        <v>479</v>
      </c>
    </row>
    <row r="70" spans="2:15">
      <c r="B70" s="65">
        <v>57</v>
      </c>
      <c r="C70" s="51" t="s">
        <v>420</v>
      </c>
      <c r="D70" s="52">
        <v>24147</v>
      </c>
      <c r="E70" s="37" t="s">
        <v>362</v>
      </c>
      <c r="F70" s="37">
        <v>45</v>
      </c>
      <c r="G70" s="37" t="s">
        <v>38</v>
      </c>
      <c r="H70" s="53">
        <v>40857</v>
      </c>
      <c r="I70" s="53">
        <v>42512</v>
      </c>
      <c r="J70" s="37">
        <v>4</v>
      </c>
      <c r="K70" s="69" t="s">
        <v>43</v>
      </c>
      <c r="L70" s="54" t="s">
        <v>154</v>
      </c>
      <c r="M70" s="54">
        <v>50</v>
      </c>
      <c r="N70" s="51">
        <v>0</v>
      </c>
      <c r="O70" s="74" t="s">
        <v>479</v>
      </c>
    </row>
    <row r="71" spans="2:15">
      <c r="B71" s="66">
        <v>7</v>
      </c>
      <c r="C71" s="47" t="s">
        <v>421</v>
      </c>
      <c r="D71" s="56">
        <v>21218</v>
      </c>
      <c r="E71" s="55" t="s">
        <v>37</v>
      </c>
      <c r="F71" s="55">
        <v>54</v>
      </c>
      <c r="G71" s="55" t="s">
        <v>38</v>
      </c>
      <c r="H71" s="57">
        <v>41210</v>
      </c>
      <c r="I71" s="57">
        <v>43091</v>
      </c>
      <c r="J71" s="55">
        <v>5</v>
      </c>
      <c r="K71" s="70" t="s">
        <v>43</v>
      </c>
      <c r="L71" s="50" t="s">
        <v>154</v>
      </c>
      <c r="M71" s="50">
        <v>59</v>
      </c>
      <c r="N71" s="47">
        <v>0</v>
      </c>
      <c r="O71" s="75" t="s">
        <v>478</v>
      </c>
    </row>
    <row r="72" spans="2:15">
      <c r="B72" s="65">
        <v>64</v>
      </c>
      <c r="C72" s="51" t="s">
        <v>422</v>
      </c>
      <c r="D72" s="52">
        <v>23710</v>
      </c>
      <c r="E72" s="37" t="s">
        <v>37</v>
      </c>
      <c r="F72" s="37">
        <v>50</v>
      </c>
      <c r="G72" s="37" t="s">
        <v>38</v>
      </c>
      <c r="H72" s="53">
        <v>42105</v>
      </c>
      <c r="I72" s="53">
        <v>42627</v>
      </c>
      <c r="J72" s="37">
        <v>1</v>
      </c>
      <c r="K72" s="69" t="s">
        <v>43</v>
      </c>
      <c r="L72" s="54" t="s">
        <v>154</v>
      </c>
      <c r="M72" s="54">
        <v>51</v>
      </c>
      <c r="N72" s="51">
        <v>0</v>
      </c>
      <c r="O72" s="74" t="s">
        <v>479</v>
      </c>
    </row>
    <row r="73" spans="2:15">
      <c r="B73" s="66">
        <v>37</v>
      </c>
      <c r="C73" s="47" t="s">
        <v>423</v>
      </c>
      <c r="D73" s="56">
        <v>13685</v>
      </c>
      <c r="E73" s="55" t="s">
        <v>362</v>
      </c>
      <c r="F73" s="55">
        <v>72</v>
      </c>
      <c r="G73" s="55" t="s">
        <v>363</v>
      </c>
      <c r="H73" s="57">
        <v>39994</v>
      </c>
      <c r="I73" s="57">
        <v>40350</v>
      </c>
      <c r="J73" s="55">
        <v>0</v>
      </c>
      <c r="K73" s="70" t="s">
        <v>41</v>
      </c>
      <c r="L73" s="50" t="s">
        <v>154</v>
      </c>
      <c r="M73" s="50">
        <v>73</v>
      </c>
      <c r="N73" s="47">
        <v>0</v>
      </c>
      <c r="O73" s="75" t="s">
        <v>479</v>
      </c>
    </row>
    <row r="74" spans="2:15">
      <c r="B74" s="65">
        <v>15</v>
      </c>
      <c r="C74" s="51" t="s">
        <v>424</v>
      </c>
      <c r="D74" s="52">
        <v>23831</v>
      </c>
      <c r="E74" s="37" t="s">
        <v>362</v>
      </c>
      <c r="F74" s="37">
        <v>42</v>
      </c>
      <c r="G74" s="37" t="s">
        <v>38</v>
      </c>
      <c r="H74" s="53">
        <v>39385</v>
      </c>
      <c r="I74" s="53">
        <v>42249</v>
      </c>
      <c r="J74" s="37">
        <v>7</v>
      </c>
      <c r="K74" s="69" t="s">
        <v>49</v>
      </c>
      <c r="L74" s="54" t="s">
        <v>154</v>
      </c>
      <c r="M74" s="54">
        <v>50</v>
      </c>
      <c r="N74" s="51">
        <v>0</v>
      </c>
      <c r="O74" s="74" t="s">
        <v>478</v>
      </c>
    </row>
    <row r="75" spans="2:15">
      <c r="B75" s="66">
        <v>95</v>
      </c>
      <c r="C75" s="47" t="s">
        <v>425</v>
      </c>
      <c r="D75" s="56">
        <v>29826</v>
      </c>
      <c r="E75" s="55" t="s">
        <v>37</v>
      </c>
      <c r="F75" s="55">
        <v>27</v>
      </c>
      <c r="G75" s="55" t="s">
        <v>38</v>
      </c>
      <c r="H75" s="57">
        <v>39770</v>
      </c>
      <c r="I75" s="57">
        <v>42842</v>
      </c>
      <c r="J75" s="55">
        <v>8</v>
      </c>
      <c r="K75" s="70" t="s">
        <v>49</v>
      </c>
      <c r="L75" s="50" t="s">
        <v>154</v>
      </c>
      <c r="M75" s="50">
        <v>35</v>
      </c>
      <c r="N75" s="47">
        <v>0</v>
      </c>
      <c r="O75" s="75" t="s">
        <v>478</v>
      </c>
    </row>
    <row r="76" spans="2:15">
      <c r="B76" s="65">
        <v>78</v>
      </c>
      <c r="C76" s="51" t="s">
        <v>426</v>
      </c>
      <c r="D76" s="52">
        <v>17065</v>
      </c>
      <c r="E76" s="37" t="s">
        <v>37</v>
      </c>
      <c r="F76" s="37">
        <v>67</v>
      </c>
      <c r="G76" s="37" t="s">
        <v>363</v>
      </c>
      <c r="H76" s="53">
        <v>41785</v>
      </c>
      <c r="I76" s="53"/>
      <c r="J76" s="37">
        <v>8</v>
      </c>
      <c r="K76" s="69"/>
      <c r="L76" s="54" t="s">
        <v>151</v>
      </c>
      <c r="M76" s="54" t="s">
        <v>361</v>
      </c>
      <c r="N76" s="51">
        <v>1</v>
      </c>
      <c r="O76" s="74" t="s">
        <v>478</v>
      </c>
    </row>
    <row r="77" spans="2:15">
      <c r="B77" s="66">
        <v>4</v>
      </c>
      <c r="C77" s="47" t="s">
        <v>427</v>
      </c>
      <c r="D77" s="56">
        <v>29167</v>
      </c>
      <c r="E77" s="55" t="s">
        <v>362</v>
      </c>
      <c r="F77" s="55">
        <v>28</v>
      </c>
      <c r="G77" s="55" t="s">
        <v>38</v>
      </c>
      <c r="H77" s="57">
        <v>39610</v>
      </c>
      <c r="I77" s="57">
        <v>43357</v>
      </c>
      <c r="J77" s="55">
        <v>10</v>
      </c>
      <c r="K77" s="70" t="s">
        <v>41</v>
      </c>
      <c r="L77" s="50" t="s">
        <v>151</v>
      </c>
      <c r="M77" s="50">
        <v>38</v>
      </c>
      <c r="N77" s="47">
        <v>0</v>
      </c>
      <c r="O77" s="75" t="s">
        <v>477</v>
      </c>
    </row>
    <row r="78" spans="2:15">
      <c r="B78" s="65">
        <v>85</v>
      </c>
      <c r="C78" s="51" t="s">
        <v>428</v>
      </c>
      <c r="D78" s="52">
        <v>28938</v>
      </c>
      <c r="E78" s="37" t="s">
        <v>37</v>
      </c>
      <c r="F78" s="37">
        <v>35</v>
      </c>
      <c r="G78" s="37" t="s">
        <v>38</v>
      </c>
      <c r="H78" s="53">
        <v>41817</v>
      </c>
      <c r="I78" s="53"/>
      <c r="J78" s="37">
        <v>8</v>
      </c>
      <c r="K78" s="69"/>
      <c r="L78" s="54" t="s">
        <v>151</v>
      </c>
      <c r="M78" s="54" t="s">
        <v>361</v>
      </c>
      <c r="N78" s="51">
        <v>1</v>
      </c>
      <c r="O78" s="74" t="s">
        <v>478</v>
      </c>
    </row>
    <row r="79" spans="2:15">
      <c r="B79" s="66">
        <v>73</v>
      </c>
      <c r="C79" s="47" t="s">
        <v>429</v>
      </c>
      <c r="D79" s="56">
        <v>31922</v>
      </c>
      <c r="E79" s="55" t="s">
        <v>37</v>
      </c>
      <c r="F79" s="55">
        <v>24</v>
      </c>
      <c r="G79" s="55" t="s">
        <v>38</v>
      </c>
      <c r="H79" s="57">
        <v>41018</v>
      </c>
      <c r="I79" s="57">
        <v>43608</v>
      </c>
      <c r="J79" s="55">
        <v>7</v>
      </c>
      <c r="K79" s="70" t="s">
        <v>49</v>
      </c>
      <c r="L79" s="50" t="s">
        <v>151</v>
      </c>
      <c r="M79" s="50">
        <v>31</v>
      </c>
      <c r="N79" s="47">
        <v>0</v>
      </c>
      <c r="O79" s="75" t="s">
        <v>478</v>
      </c>
    </row>
    <row r="80" spans="2:15">
      <c r="B80" s="65">
        <v>22</v>
      </c>
      <c r="C80" s="51" t="s">
        <v>430</v>
      </c>
      <c r="D80" s="52">
        <v>21341</v>
      </c>
      <c r="E80" s="37" t="s">
        <v>37</v>
      </c>
      <c r="F80" s="37">
        <v>52</v>
      </c>
      <c r="G80" s="37" t="s">
        <v>38</v>
      </c>
      <c r="H80" s="53">
        <v>40569</v>
      </c>
      <c r="I80" s="53">
        <v>43935</v>
      </c>
      <c r="J80" s="37">
        <v>9</v>
      </c>
      <c r="K80" s="69" t="s">
        <v>41</v>
      </c>
      <c r="L80" s="54" t="s">
        <v>151</v>
      </c>
      <c r="M80" s="54">
        <v>61</v>
      </c>
      <c r="N80" s="51">
        <v>0</v>
      </c>
      <c r="O80" s="74" t="s">
        <v>478</v>
      </c>
    </row>
    <row r="81" spans="2:15">
      <c r="B81" s="66">
        <v>59</v>
      </c>
      <c r="C81" s="47" t="s">
        <v>431</v>
      </c>
      <c r="D81" s="56">
        <v>32683</v>
      </c>
      <c r="E81" s="55" t="s">
        <v>37</v>
      </c>
      <c r="F81" s="55">
        <v>20</v>
      </c>
      <c r="G81" s="55" t="s">
        <v>38</v>
      </c>
      <c r="H81" s="57">
        <v>40281</v>
      </c>
      <c r="I81" s="57"/>
      <c r="J81" s="55">
        <v>12</v>
      </c>
      <c r="K81" s="70"/>
      <c r="L81" s="50" t="s">
        <v>151</v>
      </c>
      <c r="M81" s="50" t="s">
        <v>361</v>
      </c>
      <c r="N81" s="47">
        <v>1</v>
      </c>
      <c r="O81" s="75" t="s">
        <v>477</v>
      </c>
    </row>
    <row r="82" spans="2:15">
      <c r="B82" s="65">
        <v>24</v>
      </c>
      <c r="C82" s="51" t="s">
        <v>432</v>
      </c>
      <c r="D82" s="52">
        <v>31330</v>
      </c>
      <c r="E82" s="37" t="s">
        <v>37</v>
      </c>
      <c r="F82" s="37">
        <v>26</v>
      </c>
      <c r="G82" s="37" t="s">
        <v>38</v>
      </c>
      <c r="H82" s="53">
        <v>41082</v>
      </c>
      <c r="I82" s="53">
        <v>43222</v>
      </c>
      <c r="J82" s="37">
        <v>5</v>
      </c>
      <c r="K82" s="69" t="s">
        <v>64</v>
      </c>
      <c r="L82" s="54" t="s">
        <v>151</v>
      </c>
      <c r="M82" s="54">
        <v>32</v>
      </c>
      <c r="N82" s="51">
        <v>0</v>
      </c>
      <c r="O82" s="74" t="s">
        <v>478</v>
      </c>
    </row>
    <row r="83" spans="2:15">
      <c r="B83" s="66">
        <v>21</v>
      </c>
      <c r="C83" s="47" t="s">
        <v>433</v>
      </c>
      <c r="D83" s="56">
        <v>24172</v>
      </c>
      <c r="E83" s="55" t="s">
        <v>37</v>
      </c>
      <c r="F83" s="55">
        <v>45</v>
      </c>
      <c r="G83" s="55" t="s">
        <v>38</v>
      </c>
      <c r="H83" s="57">
        <v>40793</v>
      </c>
      <c r="I83" s="57">
        <v>41565</v>
      </c>
      <c r="J83" s="55">
        <v>2</v>
      </c>
      <c r="K83" s="70" t="s">
        <v>64</v>
      </c>
      <c r="L83" s="50" t="s">
        <v>151</v>
      </c>
      <c r="M83" s="50">
        <v>47</v>
      </c>
      <c r="N83" s="47">
        <v>0</v>
      </c>
      <c r="O83" s="75" t="s">
        <v>479</v>
      </c>
    </row>
    <row r="84" spans="2:15">
      <c r="B84" s="65">
        <v>67</v>
      </c>
      <c r="C84" s="51" t="s">
        <v>434</v>
      </c>
      <c r="D84" s="52">
        <v>31356</v>
      </c>
      <c r="E84" s="37" t="s">
        <v>37</v>
      </c>
      <c r="F84" s="37">
        <v>26</v>
      </c>
      <c r="G84" s="37" t="s">
        <v>38</v>
      </c>
      <c r="H84" s="53">
        <v>41146</v>
      </c>
      <c r="I84" s="53">
        <v>41619</v>
      </c>
      <c r="J84" s="37">
        <v>1</v>
      </c>
      <c r="K84" s="69" t="s">
        <v>43</v>
      </c>
      <c r="L84" s="54" t="s">
        <v>151</v>
      </c>
      <c r="M84" s="54">
        <v>28</v>
      </c>
      <c r="N84" s="51">
        <v>0</v>
      </c>
      <c r="O84" s="74" t="s">
        <v>479</v>
      </c>
    </row>
    <row r="85" spans="2:15">
      <c r="B85" s="66">
        <v>90</v>
      </c>
      <c r="C85" s="47" t="s">
        <v>435</v>
      </c>
      <c r="D85" s="56">
        <v>29855</v>
      </c>
      <c r="E85" s="55" t="s">
        <v>362</v>
      </c>
      <c r="F85" s="55">
        <v>27</v>
      </c>
      <c r="G85" s="55" t="s">
        <v>38</v>
      </c>
      <c r="H85" s="57">
        <v>39866</v>
      </c>
      <c r="I85" s="57">
        <v>40131</v>
      </c>
      <c r="J85" s="55">
        <v>0</v>
      </c>
      <c r="K85" s="70" t="s">
        <v>49</v>
      </c>
      <c r="L85" s="50" t="s">
        <v>151</v>
      </c>
      <c r="M85" s="50">
        <v>28</v>
      </c>
      <c r="N85" s="47">
        <v>0</v>
      </c>
      <c r="O85" s="75" t="s">
        <v>479</v>
      </c>
    </row>
    <row r="86" spans="2:15">
      <c r="B86" s="65">
        <v>32</v>
      </c>
      <c r="C86" s="51" t="s">
        <v>436</v>
      </c>
      <c r="D86" s="52">
        <v>28032</v>
      </c>
      <c r="E86" s="37" t="s">
        <v>37</v>
      </c>
      <c r="F86" s="37">
        <v>36</v>
      </c>
      <c r="G86" s="37" t="s">
        <v>38</v>
      </c>
      <c r="H86" s="53">
        <v>41498</v>
      </c>
      <c r="I86" s="53"/>
      <c r="J86" s="37">
        <v>9</v>
      </c>
      <c r="K86" s="69"/>
      <c r="L86" s="54" t="s">
        <v>151</v>
      </c>
      <c r="M86" s="54" t="s">
        <v>361</v>
      </c>
      <c r="N86" s="51">
        <v>1</v>
      </c>
      <c r="O86" s="74" t="s">
        <v>478</v>
      </c>
    </row>
    <row r="87" spans="2:15">
      <c r="B87" s="66">
        <v>61</v>
      </c>
      <c r="C87" s="47" t="s">
        <v>437</v>
      </c>
      <c r="D87" s="56">
        <v>29974</v>
      </c>
      <c r="E87" s="55" t="s">
        <v>37</v>
      </c>
      <c r="F87" s="55">
        <v>28</v>
      </c>
      <c r="G87" s="55" t="s">
        <v>38</v>
      </c>
      <c r="H87" s="57">
        <v>40537</v>
      </c>
      <c r="I87" s="57"/>
      <c r="J87" s="55">
        <v>12</v>
      </c>
      <c r="K87" s="70"/>
      <c r="L87" s="50" t="s">
        <v>151</v>
      </c>
      <c r="M87" s="50" t="s">
        <v>361</v>
      </c>
      <c r="N87" s="47">
        <v>1</v>
      </c>
      <c r="O87" s="75" t="s">
        <v>477</v>
      </c>
    </row>
    <row r="88" spans="2:15">
      <c r="B88" s="65">
        <v>31</v>
      </c>
      <c r="C88" s="51" t="s">
        <v>438</v>
      </c>
      <c r="D88" s="52">
        <v>25737</v>
      </c>
      <c r="E88" s="37" t="s">
        <v>362</v>
      </c>
      <c r="F88" s="37">
        <v>42</v>
      </c>
      <c r="G88" s="37" t="s">
        <v>38</v>
      </c>
      <c r="H88" s="53">
        <v>41338</v>
      </c>
      <c r="I88" s="53">
        <v>44270</v>
      </c>
      <c r="J88" s="37">
        <v>8</v>
      </c>
      <c r="K88" s="69" t="s">
        <v>49</v>
      </c>
      <c r="L88" s="54" t="s">
        <v>151</v>
      </c>
      <c r="M88" s="54">
        <v>50</v>
      </c>
      <c r="N88" s="51">
        <v>0</v>
      </c>
      <c r="O88" s="74" t="s">
        <v>478</v>
      </c>
    </row>
    <row r="89" spans="2:15">
      <c r="B89" s="66">
        <v>72</v>
      </c>
      <c r="C89" s="47" t="s">
        <v>439</v>
      </c>
      <c r="D89" s="56">
        <v>33948</v>
      </c>
      <c r="E89" s="55" t="s">
        <v>362</v>
      </c>
      <c r="F89" s="55">
        <v>16</v>
      </c>
      <c r="G89" s="55" t="s">
        <v>38</v>
      </c>
      <c r="H89" s="57">
        <v>39930</v>
      </c>
      <c r="I89" s="57">
        <v>41931</v>
      </c>
      <c r="J89" s="55">
        <v>5</v>
      </c>
      <c r="K89" s="70" t="s">
        <v>49</v>
      </c>
      <c r="L89" s="50" t="s">
        <v>150</v>
      </c>
      <c r="M89" s="50">
        <v>21</v>
      </c>
      <c r="N89" s="47">
        <v>0</v>
      </c>
      <c r="O89" s="75" t="s">
        <v>478</v>
      </c>
    </row>
    <row r="90" spans="2:15">
      <c r="B90" s="65">
        <v>68</v>
      </c>
      <c r="C90" s="51" t="s">
        <v>440</v>
      </c>
      <c r="D90" s="52">
        <v>34631</v>
      </c>
      <c r="E90" s="37" t="s">
        <v>37</v>
      </c>
      <c r="F90" s="37">
        <v>13</v>
      </c>
      <c r="G90" s="37" t="s">
        <v>38</v>
      </c>
      <c r="H90" s="53">
        <v>39738</v>
      </c>
      <c r="I90" s="53">
        <v>43459</v>
      </c>
      <c r="J90" s="37">
        <v>10</v>
      </c>
      <c r="K90" s="69" t="s">
        <v>64</v>
      </c>
      <c r="L90" s="54" t="s">
        <v>150</v>
      </c>
      <c r="M90" s="54">
        <v>24</v>
      </c>
      <c r="N90" s="51">
        <v>0</v>
      </c>
      <c r="O90" s="74" t="s">
        <v>477</v>
      </c>
    </row>
    <row r="91" spans="2:15">
      <c r="B91" s="66">
        <v>3</v>
      </c>
      <c r="C91" s="47" t="s">
        <v>441</v>
      </c>
      <c r="D91" s="56">
        <v>23852</v>
      </c>
      <c r="E91" s="55" t="s">
        <v>362</v>
      </c>
      <c r="F91" s="55">
        <v>47</v>
      </c>
      <c r="G91" s="55" t="s">
        <v>38</v>
      </c>
      <c r="H91" s="57">
        <v>41050</v>
      </c>
      <c r="I91" s="57">
        <v>44836</v>
      </c>
      <c r="J91" s="55">
        <v>10</v>
      </c>
      <c r="K91" s="70" t="s">
        <v>43</v>
      </c>
      <c r="L91" s="50" t="s">
        <v>150</v>
      </c>
      <c r="M91" s="50">
        <v>57</v>
      </c>
      <c r="N91" s="47">
        <v>0</v>
      </c>
      <c r="O91" s="75" t="s">
        <v>477</v>
      </c>
    </row>
    <row r="92" spans="2:15">
      <c r="B92" s="65">
        <v>58</v>
      </c>
      <c r="C92" s="51" t="s">
        <v>442</v>
      </c>
      <c r="D92" s="52">
        <v>28342</v>
      </c>
      <c r="E92" s="37" t="s">
        <v>37</v>
      </c>
      <c r="F92" s="37">
        <v>29</v>
      </c>
      <c r="G92" s="37" t="s">
        <v>38</v>
      </c>
      <c r="H92" s="53">
        <v>39289</v>
      </c>
      <c r="I92" s="53"/>
      <c r="J92" s="37">
        <v>15</v>
      </c>
      <c r="K92" s="69"/>
      <c r="L92" s="54" t="s">
        <v>150</v>
      </c>
      <c r="M92" s="54" t="s">
        <v>361</v>
      </c>
      <c r="N92" s="51">
        <v>1</v>
      </c>
      <c r="O92" s="74" t="s">
        <v>477</v>
      </c>
    </row>
    <row r="93" spans="2:15">
      <c r="B93" s="66">
        <v>91</v>
      </c>
      <c r="C93" s="47" t="s">
        <v>443</v>
      </c>
      <c r="D93" s="56">
        <v>22944</v>
      </c>
      <c r="E93" s="55" t="s">
        <v>37</v>
      </c>
      <c r="F93" s="55">
        <v>52</v>
      </c>
      <c r="G93" s="55" t="s">
        <v>38</v>
      </c>
      <c r="H93" s="57">
        <v>42265</v>
      </c>
      <c r="I93" s="57">
        <v>43794</v>
      </c>
      <c r="J93" s="55">
        <v>4</v>
      </c>
      <c r="K93" s="70" t="s">
        <v>43</v>
      </c>
      <c r="L93" s="50" t="s">
        <v>150</v>
      </c>
      <c r="M93" s="50">
        <v>57</v>
      </c>
      <c r="N93" s="47">
        <v>0</v>
      </c>
      <c r="O93" s="75" t="s">
        <v>479</v>
      </c>
    </row>
    <row r="94" spans="2:15">
      <c r="B94" s="65">
        <v>93</v>
      </c>
      <c r="C94" s="51" t="s">
        <v>444</v>
      </c>
      <c r="D94" s="52">
        <v>32729</v>
      </c>
      <c r="E94" s="37" t="s">
        <v>37</v>
      </c>
      <c r="F94" s="37">
        <v>23</v>
      </c>
      <c r="G94" s="37" t="s">
        <v>38</v>
      </c>
      <c r="H94" s="53">
        <v>41242</v>
      </c>
      <c r="I94" s="53"/>
      <c r="J94" s="37">
        <v>10</v>
      </c>
      <c r="K94" s="69"/>
      <c r="L94" s="54" t="s">
        <v>150</v>
      </c>
      <c r="M94" s="54" t="s">
        <v>361</v>
      </c>
      <c r="N94" s="51">
        <v>1</v>
      </c>
      <c r="O94" s="74" t="s">
        <v>477</v>
      </c>
    </row>
    <row r="95" spans="2:15">
      <c r="B95" s="66">
        <v>17</v>
      </c>
      <c r="C95" s="47" t="s">
        <v>445</v>
      </c>
      <c r="D95" s="56">
        <v>19544</v>
      </c>
      <c r="E95" s="55" t="s">
        <v>362</v>
      </c>
      <c r="F95" s="55">
        <v>55</v>
      </c>
      <c r="G95" s="55" t="s">
        <v>38</v>
      </c>
      <c r="H95" s="57">
        <v>39802</v>
      </c>
      <c r="I95" s="57">
        <v>43071</v>
      </c>
      <c r="J95" s="55">
        <v>8</v>
      </c>
      <c r="K95" s="70" t="s">
        <v>43</v>
      </c>
      <c r="L95" s="50" t="s">
        <v>150</v>
      </c>
      <c r="M95" s="50">
        <v>64</v>
      </c>
      <c r="N95" s="47">
        <v>0</v>
      </c>
      <c r="O95" s="75" t="s">
        <v>478</v>
      </c>
    </row>
    <row r="96" spans="2:15">
      <c r="B96" s="65">
        <v>70</v>
      </c>
      <c r="C96" s="51" t="s">
        <v>446</v>
      </c>
      <c r="D96" s="52">
        <v>27048</v>
      </c>
      <c r="E96" s="37" t="s">
        <v>362</v>
      </c>
      <c r="F96" s="37">
        <v>35</v>
      </c>
      <c r="G96" s="37" t="s">
        <v>38</v>
      </c>
      <c r="H96" s="53">
        <v>40026</v>
      </c>
      <c r="I96" s="53">
        <v>41960</v>
      </c>
      <c r="J96" s="37">
        <v>5</v>
      </c>
      <c r="K96" s="69" t="s">
        <v>49</v>
      </c>
      <c r="L96" s="54" t="s">
        <v>150</v>
      </c>
      <c r="M96" s="54">
        <v>40</v>
      </c>
      <c r="N96" s="51">
        <v>0</v>
      </c>
      <c r="O96" s="74" t="s">
        <v>478</v>
      </c>
    </row>
    <row r="97" spans="2:15">
      <c r="B97" s="66">
        <v>10</v>
      </c>
      <c r="C97" s="47" t="s">
        <v>447</v>
      </c>
      <c r="D97" s="56">
        <v>20291</v>
      </c>
      <c r="E97" s="55" t="s">
        <v>37</v>
      </c>
      <c r="F97" s="55">
        <v>59</v>
      </c>
      <c r="G97" s="55" t="s">
        <v>38</v>
      </c>
      <c r="H97" s="57">
        <v>42009</v>
      </c>
      <c r="I97" s="57"/>
      <c r="J97" s="55">
        <v>7</v>
      </c>
      <c r="K97" s="70"/>
      <c r="L97" s="50" t="s">
        <v>150</v>
      </c>
      <c r="M97" s="50" t="s">
        <v>361</v>
      </c>
      <c r="N97" s="47">
        <v>1</v>
      </c>
      <c r="O97" s="75" t="s">
        <v>478</v>
      </c>
    </row>
    <row r="98" spans="2:15">
      <c r="B98" s="65">
        <v>75</v>
      </c>
      <c r="C98" s="51" t="s">
        <v>448</v>
      </c>
      <c r="D98" s="52">
        <v>16300</v>
      </c>
      <c r="E98" s="37" t="s">
        <v>362</v>
      </c>
      <c r="F98" s="37">
        <v>62</v>
      </c>
      <c r="G98" s="37" t="s">
        <v>363</v>
      </c>
      <c r="H98" s="53">
        <v>39225</v>
      </c>
      <c r="I98" s="53">
        <v>42975</v>
      </c>
      <c r="J98" s="37">
        <v>10</v>
      </c>
      <c r="K98" s="69" t="s">
        <v>49</v>
      </c>
      <c r="L98" s="54" t="s">
        <v>150</v>
      </c>
      <c r="M98" s="54">
        <v>73</v>
      </c>
      <c r="N98" s="51">
        <v>0</v>
      </c>
      <c r="O98" s="74" t="s">
        <v>477</v>
      </c>
    </row>
    <row r="99" spans="2:15">
      <c r="B99" s="66">
        <v>49</v>
      </c>
      <c r="C99" s="47" t="s">
        <v>449</v>
      </c>
      <c r="D99" s="56">
        <v>33585</v>
      </c>
      <c r="E99" s="55" t="s">
        <v>362</v>
      </c>
      <c r="F99" s="55">
        <v>16</v>
      </c>
      <c r="G99" s="55" t="s">
        <v>38</v>
      </c>
      <c r="H99" s="57">
        <v>39578</v>
      </c>
      <c r="I99" s="57">
        <v>41682</v>
      </c>
      <c r="J99" s="55">
        <v>5</v>
      </c>
      <c r="K99" s="70" t="s">
        <v>43</v>
      </c>
      <c r="L99" s="50" t="s">
        <v>150</v>
      </c>
      <c r="M99" s="50">
        <v>22</v>
      </c>
      <c r="N99" s="47">
        <v>0</v>
      </c>
      <c r="O99" s="75" t="s">
        <v>478</v>
      </c>
    </row>
    <row r="100" spans="2:15">
      <c r="B100" s="65">
        <v>88</v>
      </c>
      <c r="C100" s="51" t="s">
        <v>450</v>
      </c>
      <c r="D100" s="52">
        <v>26695</v>
      </c>
      <c r="E100" s="37" t="s">
        <v>37</v>
      </c>
      <c r="F100" s="37">
        <v>36</v>
      </c>
      <c r="G100" s="37" t="s">
        <v>38</v>
      </c>
      <c r="H100" s="53">
        <v>40090</v>
      </c>
      <c r="I100" s="53">
        <v>44005</v>
      </c>
      <c r="J100" s="37">
        <v>10</v>
      </c>
      <c r="K100" s="69" t="s">
        <v>49</v>
      </c>
      <c r="L100" s="54" t="s">
        <v>150</v>
      </c>
      <c r="M100" s="54">
        <v>47</v>
      </c>
      <c r="N100" s="51">
        <v>0</v>
      </c>
      <c r="O100" s="74" t="s">
        <v>477</v>
      </c>
    </row>
    <row r="101" spans="2:15">
      <c r="B101" s="66">
        <v>52</v>
      </c>
      <c r="C101" s="47" t="s">
        <v>451</v>
      </c>
      <c r="D101" s="56">
        <v>22881</v>
      </c>
      <c r="E101" s="55" t="s">
        <v>37</v>
      </c>
      <c r="F101" s="55">
        <v>52</v>
      </c>
      <c r="G101" s="55" t="s">
        <v>38</v>
      </c>
      <c r="H101" s="57">
        <v>42073</v>
      </c>
      <c r="I101" s="57"/>
      <c r="J101" s="55">
        <v>7</v>
      </c>
      <c r="K101" s="70"/>
      <c r="L101" s="50" t="s">
        <v>150</v>
      </c>
      <c r="M101" s="50" t="s">
        <v>361</v>
      </c>
      <c r="N101" s="47">
        <v>1</v>
      </c>
      <c r="O101" s="75" t="s">
        <v>478</v>
      </c>
    </row>
    <row r="102" spans="2:15">
      <c r="B102" s="65">
        <v>28</v>
      </c>
      <c r="C102" s="51" t="s">
        <v>452</v>
      </c>
      <c r="D102" s="52">
        <v>27967</v>
      </c>
      <c r="E102" s="37" t="s">
        <v>362</v>
      </c>
      <c r="F102" s="37">
        <v>31</v>
      </c>
      <c r="G102" s="37" t="s">
        <v>38</v>
      </c>
      <c r="H102" s="53">
        <v>39353</v>
      </c>
      <c r="I102" s="53"/>
      <c r="J102" s="37">
        <v>15</v>
      </c>
      <c r="K102" s="69"/>
      <c r="L102" s="54" t="s">
        <v>150</v>
      </c>
      <c r="M102" s="54" t="s">
        <v>361</v>
      </c>
      <c r="N102" s="51">
        <v>1</v>
      </c>
      <c r="O102" s="74" t="s">
        <v>477</v>
      </c>
    </row>
    <row r="103" spans="2:15">
      <c r="B103" s="66">
        <v>80</v>
      </c>
      <c r="C103" s="47" t="s">
        <v>453</v>
      </c>
      <c r="D103" s="56">
        <v>27196</v>
      </c>
      <c r="E103" s="55" t="s">
        <v>37</v>
      </c>
      <c r="F103" s="55">
        <v>34</v>
      </c>
      <c r="G103" s="55" t="s">
        <v>38</v>
      </c>
      <c r="H103" s="57">
        <v>39834</v>
      </c>
      <c r="I103" s="57">
        <v>41200</v>
      </c>
      <c r="J103" s="55">
        <v>3</v>
      </c>
      <c r="K103" s="70" t="s">
        <v>43</v>
      </c>
      <c r="L103" s="50" t="s">
        <v>150</v>
      </c>
      <c r="M103" s="50">
        <v>38</v>
      </c>
      <c r="N103" s="47">
        <v>0</v>
      </c>
      <c r="O103" s="75" t="s">
        <v>479</v>
      </c>
    </row>
    <row r="104" spans="2:15">
      <c r="B104" s="65">
        <v>35</v>
      </c>
      <c r="C104" s="51" t="s">
        <v>454</v>
      </c>
      <c r="D104" s="52">
        <v>25976</v>
      </c>
      <c r="E104" s="37" t="s">
        <v>362</v>
      </c>
      <c r="F104" s="37">
        <v>39</v>
      </c>
      <c r="G104" s="37" t="s">
        <v>38</v>
      </c>
      <c r="H104" s="53">
        <v>40249</v>
      </c>
      <c r="I104" s="53">
        <v>43372</v>
      </c>
      <c r="J104" s="37">
        <v>8</v>
      </c>
      <c r="K104" s="69" t="s">
        <v>43</v>
      </c>
      <c r="L104" s="54" t="s">
        <v>150</v>
      </c>
      <c r="M104" s="54">
        <v>47</v>
      </c>
      <c r="N104" s="51">
        <v>0</v>
      </c>
      <c r="O104" s="74" t="s">
        <v>478</v>
      </c>
    </row>
    <row r="105" spans="2:15">
      <c r="B105" s="66">
        <v>60</v>
      </c>
      <c r="C105" s="47" t="s">
        <v>455</v>
      </c>
      <c r="D105" s="56">
        <v>24551</v>
      </c>
      <c r="E105" s="55" t="s">
        <v>37</v>
      </c>
      <c r="F105" s="55">
        <v>44</v>
      </c>
      <c r="G105" s="55" t="s">
        <v>38</v>
      </c>
      <c r="H105" s="57">
        <v>40986</v>
      </c>
      <c r="I105" s="57"/>
      <c r="J105" s="55">
        <v>10</v>
      </c>
      <c r="K105" s="70"/>
      <c r="L105" s="50" t="s">
        <v>150</v>
      </c>
      <c r="M105" s="50" t="s">
        <v>361</v>
      </c>
      <c r="N105" s="47">
        <v>1</v>
      </c>
      <c r="O105" s="75" t="s">
        <v>477</v>
      </c>
    </row>
    <row r="106" spans="2:15">
      <c r="B106" s="65">
        <v>87</v>
      </c>
      <c r="C106" s="51" t="s">
        <v>456</v>
      </c>
      <c r="D106" s="52">
        <v>20471</v>
      </c>
      <c r="E106" s="37" t="s">
        <v>362</v>
      </c>
      <c r="F106" s="37">
        <v>51</v>
      </c>
      <c r="G106" s="37" t="s">
        <v>38</v>
      </c>
      <c r="H106" s="53">
        <v>39129</v>
      </c>
      <c r="I106" s="53"/>
      <c r="J106" s="37">
        <v>15</v>
      </c>
      <c r="K106" s="69"/>
      <c r="L106" s="54" t="s">
        <v>150</v>
      </c>
      <c r="M106" s="54" t="s">
        <v>361</v>
      </c>
      <c r="N106" s="51">
        <v>1</v>
      </c>
      <c r="O106" s="74" t="s">
        <v>477</v>
      </c>
    </row>
    <row r="107" spans="2:15">
      <c r="B107" s="66">
        <v>63</v>
      </c>
      <c r="C107" s="47" t="s">
        <v>457</v>
      </c>
      <c r="D107" s="56">
        <v>23923</v>
      </c>
      <c r="E107" s="55" t="s">
        <v>37</v>
      </c>
      <c r="F107" s="55">
        <v>42</v>
      </c>
      <c r="G107" s="55" t="s">
        <v>38</v>
      </c>
      <c r="H107" s="57">
        <v>39481</v>
      </c>
      <c r="I107" s="57"/>
      <c r="J107" s="55">
        <v>14</v>
      </c>
      <c r="K107" s="70"/>
      <c r="L107" s="50" t="s">
        <v>149</v>
      </c>
      <c r="M107" s="50" t="s">
        <v>361</v>
      </c>
      <c r="N107" s="47">
        <v>1</v>
      </c>
      <c r="O107" s="75" t="s">
        <v>477</v>
      </c>
    </row>
    <row r="108" spans="2:15">
      <c r="B108" s="65">
        <v>16</v>
      </c>
      <c r="C108" s="51" t="s">
        <v>458</v>
      </c>
      <c r="D108" s="52">
        <v>32095</v>
      </c>
      <c r="E108" s="37" t="s">
        <v>37</v>
      </c>
      <c r="F108" s="37">
        <v>27</v>
      </c>
      <c r="G108" s="37" t="s">
        <v>38</v>
      </c>
      <c r="H108" s="53">
        <v>42169</v>
      </c>
      <c r="I108" s="53"/>
      <c r="J108" s="37">
        <v>7</v>
      </c>
      <c r="K108" s="69"/>
      <c r="L108" s="54" t="s">
        <v>149</v>
      </c>
      <c r="M108" s="54" t="s">
        <v>361</v>
      </c>
      <c r="N108" s="51">
        <v>1</v>
      </c>
      <c r="O108" s="74" t="s">
        <v>478</v>
      </c>
    </row>
    <row r="109" spans="2:15">
      <c r="B109" s="66">
        <v>98</v>
      </c>
      <c r="C109" s="47" t="s">
        <v>459</v>
      </c>
      <c r="D109" s="56">
        <v>23390</v>
      </c>
      <c r="E109" s="55" t="s">
        <v>37</v>
      </c>
      <c r="F109" s="55">
        <v>51</v>
      </c>
      <c r="G109" s="55" t="s">
        <v>38</v>
      </c>
      <c r="H109" s="57">
        <v>42201</v>
      </c>
      <c r="I109" s="57">
        <v>42384</v>
      </c>
      <c r="J109" s="55">
        <v>0</v>
      </c>
      <c r="K109" s="70" t="s">
        <v>41</v>
      </c>
      <c r="L109" s="50" t="s">
        <v>149</v>
      </c>
      <c r="M109" s="50">
        <v>52</v>
      </c>
      <c r="N109" s="47">
        <v>0</v>
      </c>
      <c r="O109" s="75" t="s">
        <v>479</v>
      </c>
    </row>
    <row r="110" spans="2:15">
      <c r="B110" s="65">
        <v>82</v>
      </c>
      <c r="C110" s="51" t="s">
        <v>460</v>
      </c>
      <c r="D110" s="52">
        <v>32509</v>
      </c>
      <c r="E110" s="37" t="s">
        <v>37</v>
      </c>
      <c r="F110" s="37">
        <v>19</v>
      </c>
      <c r="G110" s="37" t="s">
        <v>38</v>
      </c>
      <c r="H110" s="53">
        <v>39642</v>
      </c>
      <c r="I110" s="53"/>
      <c r="J110" s="37">
        <v>14</v>
      </c>
      <c r="K110" s="69"/>
      <c r="L110" s="54" t="s">
        <v>149</v>
      </c>
      <c r="M110" s="54" t="s">
        <v>361</v>
      </c>
      <c r="N110" s="51">
        <v>1</v>
      </c>
      <c r="O110" s="74" t="s">
        <v>477</v>
      </c>
    </row>
    <row r="111" spans="2:15">
      <c r="B111" s="66">
        <v>79</v>
      </c>
      <c r="C111" s="47" t="s">
        <v>461</v>
      </c>
      <c r="D111" s="56">
        <v>20023</v>
      </c>
      <c r="E111" s="55" t="s">
        <v>362</v>
      </c>
      <c r="F111" s="55">
        <v>60</v>
      </c>
      <c r="G111" s="55" t="s">
        <v>363</v>
      </c>
      <c r="H111" s="57">
        <v>42137</v>
      </c>
      <c r="I111" s="57">
        <v>43917</v>
      </c>
      <c r="J111" s="55">
        <v>4</v>
      </c>
      <c r="K111" s="70" t="s">
        <v>43</v>
      </c>
      <c r="L111" s="50" t="s">
        <v>149</v>
      </c>
      <c r="M111" s="50">
        <v>65</v>
      </c>
      <c r="N111" s="47">
        <v>0</v>
      </c>
      <c r="O111" s="75" t="s">
        <v>479</v>
      </c>
    </row>
    <row r="112" spans="2:15">
      <c r="B112" s="65">
        <v>50</v>
      </c>
      <c r="C112" s="51" t="s">
        <v>462</v>
      </c>
      <c r="D112" s="52">
        <v>30177</v>
      </c>
      <c r="E112" s="37" t="s">
        <v>362</v>
      </c>
      <c r="F112" s="37">
        <v>27</v>
      </c>
      <c r="G112" s="37" t="s">
        <v>38</v>
      </c>
      <c r="H112" s="53">
        <v>40345</v>
      </c>
      <c r="I112" s="53">
        <v>40593</v>
      </c>
      <c r="J112" s="37">
        <v>0</v>
      </c>
      <c r="K112" s="69" t="s">
        <v>60</v>
      </c>
      <c r="L112" s="54" t="s">
        <v>149</v>
      </c>
      <c r="M112" s="54">
        <v>28</v>
      </c>
      <c r="N112" s="51">
        <v>0</v>
      </c>
      <c r="O112" s="74" t="s">
        <v>479</v>
      </c>
    </row>
    <row r="113" spans="2:15">
      <c r="B113" s="66">
        <v>12</v>
      </c>
      <c r="C113" s="47" t="s">
        <v>463</v>
      </c>
      <c r="D113" s="56">
        <v>24021</v>
      </c>
      <c r="E113" s="55" t="s">
        <v>362</v>
      </c>
      <c r="F113" s="55">
        <v>41</v>
      </c>
      <c r="G113" s="55" t="s">
        <v>38</v>
      </c>
      <c r="H113" s="57">
        <v>39193</v>
      </c>
      <c r="I113" s="57"/>
      <c r="J113" s="55">
        <v>15</v>
      </c>
      <c r="K113" s="70"/>
      <c r="L113" s="50" t="s">
        <v>149</v>
      </c>
      <c r="M113" s="50" t="s">
        <v>361</v>
      </c>
      <c r="N113" s="47">
        <v>1</v>
      </c>
      <c r="O113" s="75" t="s">
        <v>477</v>
      </c>
    </row>
    <row r="114" spans="2:15">
      <c r="B114" s="65">
        <v>27</v>
      </c>
      <c r="C114" s="51" t="s">
        <v>464</v>
      </c>
      <c r="D114" s="52">
        <v>26432</v>
      </c>
      <c r="E114" s="37" t="s">
        <v>37</v>
      </c>
      <c r="F114" s="37">
        <v>35</v>
      </c>
      <c r="G114" s="37" t="s">
        <v>38</v>
      </c>
      <c r="H114" s="53">
        <v>39449</v>
      </c>
      <c r="I114" s="53">
        <v>39562</v>
      </c>
      <c r="J114" s="37">
        <v>0</v>
      </c>
      <c r="K114" s="69" t="s">
        <v>64</v>
      </c>
      <c r="L114" s="54" t="s">
        <v>149</v>
      </c>
      <c r="M114" s="54">
        <v>35</v>
      </c>
      <c r="N114" s="51">
        <v>0</v>
      </c>
      <c r="O114" s="74" t="s">
        <v>479</v>
      </c>
    </row>
    <row r="115" spans="2:15">
      <c r="B115" s="66">
        <v>38</v>
      </c>
      <c r="C115" s="47" t="s">
        <v>465</v>
      </c>
      <c r="D115" s="56">
        <v>30910</v>
      </c>
      <c r="E115" s="55" t="s">
        <v>37</v>
      </c>
      <c r="F115" s="55">
        <v>26</v>
      </c>
      <c r="G115" s="55" t="s">
        <v>38</v>
      </c>
      <c r="H115" s="57">
        <v>40633</v>
      </c>
      <c r="I115" s="57"/>
      <c r="J115" s="55">
        <v>11</v>
      </c>
      <c r="K115" s="70"/>
      <c r="L115" s="50" t="s">
        <v>149</v>
      </c>
      <c r="M115" s="50" t="s">
        <v>361</v>
      </c>
      <c r="N115" s="47">
        <v>1</v>
      </c>
      <c r="O115" s="75" t="s">
        <v>477</v>
      </c>
    </row>
    <row r="116" spans="2:15">
      <c r="B116" s="65">
        <v>81</v>
      </c>
      <c r="C116" s="51" t="s">
        <v>466</v>
      </c>
      <c r="D116" s="52">
        <v>32272</v>
      </c>
      <c r="E116" s="37" t="s">
        <v>362</v>
      </c>
      <c r="F116" s="37">
        <v>24</v>
      </c>
      <c r="G116" s="37" t="s">
        <v>38</v>
      </c>
      <c r="H116" s="53">
        <v>41274</v>
      </c>
      <c r="I116" s="53">
        <v>42178</v>
      </c>
      <c r="J116" s="37">
        <v>2</v>
      </c>
      <c r="K116" s="69" t="s">
        <v>41</v>
      </c>
      <c r="L116" s="54" t="s">
        <v>149</v>
      </c>
      <c r="M116" s="54">
        <v>27</v>
      </c>
      <c r="N116" s="51">
        <v>0</v>
      </c>
      <c r="O116" s="74" t="s">
        <v>479</v>
      </c>
    </row>
    <row r="117" spans="2:15">
      <c r="B117" s="66">
        <v>56</v>
      </c>
      <c r="C117" s="47" t="s">
        <v>467</v>
      </c>
      <c r="D117" s="56">
        <v>21987</v>
      </c>
      <c r="E117" s="55" t="s">
        <v>37</v>
      </c>
      <c r="F117" s="55">
        <v>49</v>
      </c>
      <c r="G117" s="55" t="s">
        <v>38</v>
      </c>
      <c r="H117" s="57">
        <v>39962</v>
      </c>
      <c r="I117" s="57"/>
      <c r="J117" s="55">
        <v>13</v>
      </c>
      <c r="K117" s="70"/>
      <c r="L117" s="50" t="s">
        <v>149</v>
      </c>
      <c r="M117" s="50" t="s">
        <v>361</v>
      </c>
      <c r="N117" s="47">
        <v>1</v>
      </c>
      <c r="O117" s="75" t="s">
        <v>477</v>
      </c>
    </row>
    <row r="118" spans="2:15">
      <c r="B118" s="67">
        <v>2</v>
      </c>
      <c r="C118" s="59" t="s">
        <v>468</v>
      </c>
      <c r="D118" s="60">
        <v>15437</v>
      </c>
      <c r="E118" s="58" t="s">
        <v>37</v>
      </c>
      <c r="F118" s="58">
        <v>72</v>
      </c>
      <c r="G118" s="58" t="s">
        <v>363</v>
      </c>
      <c r="H118" s="61">
        <v>41849</v>
      </c>
      <c r="I118" s="61">
        <v>42182</v>
      </c>
      <c r="J118" s="58">
        <v>0</v>
      </c>
      <c r="K118" s="71" t="s">
        <v>41</v>
      </c>
      <c r="L118" s="62" t="s">
        <v>149</v>
      </c>
      <c r="M118" s="62">
        <v>73</v>
      </c>
      <c r="N118" s="59">
        <v>0</v>
      </c>
      <c r="O118" s="76" t="s">
        <v>479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3EE6-1ABE-4EFB-8453-9672BC49E010}">
  <dimension ref="A1:G43"/>
  <sheetViews>
    <sheetView topLeftCell="A13" workbookViewId="0">
      <selection activeCell="B1" sqref="B1"/>
    </sheetView>
  </sheetViews>
  <sheetFormatPr defaultRowHeight="14.4"/>
  <cols>
    <col min="1" max="1" width="14.88671875" bestFit="1" customWidth="1"/>
    <col min="2" max="2" width="19.77734375" bestFit="1" customWidth="1"/>
    <col min="3" max="3" width="6.77734375" bestFit="1" customWidth="1"/>
    <col min="4" max="4" width="4.77734375" bestFit="1" customWidth="1"/>
    <col min="5" max="5" width="18.44140625" bestFit="1" customWidth="1"/>
    <col min="6" max="6" width="10.21875" bestFit="1" customWidth="1"/>
    <col min="7" max="7" width="14.6640625" bestFit="1" customWidth="1"/>
    <col min="8" max="8" width="4.77734375" bestFit="1" customWidth="1"/>
    <col min="9" max="9" width="17.33203125" bestFit="1" customWidth="1"/>
    <col min="10" max="10" width="18.44140625" bestFit="1" customWidth="1"/>
  </cols>
  <sheetData>
    <row r="1" spans="1:7">
      <c r="B1" s="26" t="s">
        <v>483</v>
      </c>
    </row>
    <row r="3" spans="1:7">
      <c r="A3" s="27" t="s">
        <v>365</v>
      </c>
      <c r="B3" t="s">
        <v>474</v>
      </c>
      <c r="D3" s="27" t="s">
        <v>365</v>
      </c>
      <c r="E3" t="s">
        <v>480</v>
      </c>
      <c r="F3" t="s">
        <v>481</v>
      </c>
      <c r="G3" t="s">
        <v>476</v>
      </c>
    </row>
    <row r="4" spans="1:7">
      <c r="A4" s="28" t="s">
        <v>148</v>
      </c>
      <c r="B4" s="36">
        <v>43.3125</v>
      </c>
      <c r="D4" s="28" t="s">
        <v>148</v>
      </c>
      <c r="E4">
        <v>16</v>
      </c>
      <c r="F4">
        <v>7</v>
      </c>
      <c r="G4">
        <v>9</v>
      </c>
    </row>
    <row r="5" spans="1:7">
      <c r="A5" s="28" t="s">
        <v>152</v>
      </c>
      <c r="B5" s="36">
        <v>37.833333333333336</v>
      </c>
      <c r="D5" s="28" t="s">
        <v>152</v>
      </c>
      <c r="E5">
        <v>12</v>
      </c>
      <c r="F5">
        <v>5</v>
      </c>
      <c r="G5">
        <v>7</v>
      </c>
    </row>
    <row r="6" spans="1:7">
      <c r="A6" s="28" t="s">
        <v>155</v>
      </c>
      <c r="B6" s="36">
        <v>37.555555555555557</v>
      </c>
      <c r="D6" s="28" t="s">
        <v>155</v>
      </c>
      <c r="E6">
        <v>9</v>
      </c>
      <c r="F6">
        <v>6</v>
      </c>
      <c r="G6">
        <v>3</v>
      </c>
    </row>
    <row r="7" spans="1:7">
      <c r="A7" s="28" t="s">
        <v>153</v>
      </c>
      <c r="B7" s="36">
        <v>43.4</v>
      </c>
      <c r="D7" s="28" t="s">
        <v>153</v>
      </c>
      <c r="E7">
        <v>10</v>
      </c>
      <c r="F7">
        <v>9</v>
      </c>
      <c r="G7">
        <v>1</v>
      </c>
    </row>
    <row r="8" spans="1:7">
      <c r="A8" s="28" t="s">
        <v>154</v>
      </c>
      <c r="B8" s="36">
        <v>40.700000000000003</v>
      </c>
      <c r="D8" s="28" t="s">
        <v>154</v>
      </c>
      <c r="E8">
        <v>10</v>
      </c>
      <c r="F8">
        <v>9</v>
      </c>
      <c r="G8">
        <v>1</v>
      </c>
    </row>
    <row r="9" spans="1:7">
      <c r="A9" s="28" t="s">
        <v>151</v>
      </c>
      <c r="B9" s="36">
        <v>35.07692307692308</v>
      </c>
      <c r="D9" s="28" t="s">
        <v>151</v>
      </c>
      <c r="E9">
        <v>13</v>
      </c>
      <c r="F9">
        <v>8</v>
      </c>
      <c r="G9">
        <v>5</v>
      </c>
    </row>
    <row r="10" spans="1:7">
      <c r="A10" s="28" t="s">
        <v>150</v>
      </c>
      <c r="B10" s="36">
        <v>38.555555555555557</v>
      </c>
      <c r="D10" s="28" t="s">
        <v>150</v>
      </c>
      <c r="E10">
        <v>18</v>
      </c>
      <c r="F10">
        <v>11</v>
      </c>
      <c r="G10">
        <v>7</v>
      </c>
    </row>
    <row r="11" spans="1:7">
      <c r="A11" s="28" t="s">
        <v>149</v>
      </c>
      <c r="B11" s="36">
        <v>39.416666666666664</v>
      </c>
      <c r="D11" s="28" t="s">
        <v>149</v>
      </c>
      <c r="E11">
        <v>12</v>
      </c>
      <c r="F11">
        <v>6</v>
      </c>
      <c r="G11">
        <v>6</v>
      </c>
    </row>
    <row r="12" spans="1:7">
      <c r="A12" s="28" t="s">
        <v>366</v>
      </c>
      <c r="B12" s="36">
        <v>39.49</v>
      </c>
      <c r="D12" s="28" t="s">
        <v>366</v>
      </c>
      <c r="E12">
        <v>100</v>
      </c>
      <c r="F12">
        <v>61</v>
      </c>
      <c r="G12">
        <v>39</v>
      </c>
    </row>
    <row r="15" spans="1:7">
      <c r="A15" s="27" t="s">
        <v>471</v>
      </c>
      <c r="B15" s="27" t="s">
        <v>367</v>
      </c>
    </row>
    <row r="16" spans="1:7">
      <c r="A16" s="27" t="s">
        <v>365</v>
      </c>
      <c r="B16" t="s">
        <v>362</v>
      </c>
      <c r="C16" t="s">
        <v>37</v>
      </c>
      <c r="D16" t="s">
        <v>366</v>
      </c>
    </row>
    <row r="17" spans="1:7">
      <c r="A17" s="28" t="s">
        <v>148</v>
      </c>
      <c r="B17">
        <v>6</v>
      </c>
      <c r="C17">
        <v>10</v>
      </c>
      <c r="D17">
        <v>16</v>
      </c>
    </row>
    <row r="18" spans="1:7">
      <c r="A18" s="28" t="s">
        <v>152</v>
      </c>
      <c r="B18">
        <v>4</v>
      </c>
      <c r="C18">
        <v>8</v>
      </c>
      <c r="D18">
        <v>12</v>
      </c>
    </row>
    <row r="19" spans="1:7">
      <c r="A19" s="28" t="s">
        <v>155</v>
      </c>
      <c r="B19">
        <v>5</v>
      </c>
      <c r="C19">
        <v>4</v>
      </c>
      <c r="D19">
        <v>9</v>
      </c>
    </row>
    <row r="20" spans="1:7">
      <c r="A20" s="28" t="s">
        <v>153</v>
      </c>
      <c r="B20">
        <v>3</v>
      </c>
      <c r="C20">
        <v>7</v>
      </c>
      <c r="D20">
        <v>10</v>
      </c>
    </row>
    <row r="21" spans="1:7">
      <c r="A21" s="28" t="s">
        <v>154</v>
      </c>
      <c r="B21">
        <v>5</v>
      </c>
      <c r="C21">
        <v>5</v>
      </c>
      <c r="D21">
        <v>10</v>
      </c>
    </row>
    <row r="22" spans="1:7">
      <c r="A22" s="28" t="s">
        <v>151</v>
      </c>
      <c r="B22">
        <v>3</v>
      </c>
      <c r="C22">
        <v>10</v>
      </c>
      <c r="D22">
        <v>13</v>
      </c>
    </row>
    <row r="23" spans="1:7">
      <c r="A23" s="28" t="s">
        <v>150</v>
      </c>
      <c r="B23">
        <v>9</v>
      </c>
      <c r="C23">
        <v>9</v>
      </c>
      <c r="D23">
        <v>18</v>
      </c>
    </row>
    <row r="24" spans="1:7">
      <c r="A24" s="28" t="s">
        <v>149</v>
      </c>
      <c r="B24">
        <v>4</v>
      </c>
      <c r="C24">
        <v>8</v>
      </c>
      <c r="D24">
        <v>12</v>
      </c>
    </row>
    <row r="25" spans="1:7">
      <c r="A25" s="28" t="s">
        <v>366</v>
      </c>
      <c r="B25">
        <v>39</v>
      </c>
      <c r="C25">
        <v>61</v>
      </c>
      <c r="D25">
        <v>100</v>
      </c>
    </row>
    <row r="28" spans="1:7">
      <c r="A28" t="s">
        <v>474</v>
      </c>
      <c r="E28" t="s">
        <v>475</v>
      </c>
      <c r="G28" t="s">
        <v>472</v>
      </c>
    </row>
    <row r="29" spans="1:7">
      <c r="A29" s="36">
        <v>39.49</v>
      </c>
      <c r="E29">
        <v>61</v>
      </c>
      <c r="G29" s="36">
        <v>7.24</v>
      </c>
    </row>
    <row r="32" spans="1:7">
      <c r="A32" t="s">
        <v>476</v>
      </c>
    </row>
    <row r="33" spans="1:5">
      <c r="A33">
        <v>39</v>
      </c>
    </row>
    <row r="35" spans="1:5">
      <c r="A35" s="27" t="s">
        <v>482</v>
      </c>
      <c r="B35" s="27" t="s">
        <v>367</v>
      </c>
    </row>
    <row r="36" spans="1:5">
      <c r="A36" s="27" t="s">
        <v>365</v>
      </c>
      <c r="B36" t="s">
        <v>479</v>
      </c>
      <c r="C36" t="s">
        <v>477</v>
      </c>
      <c r="D36" t="s">
        <v>478</v>
      </c>
      <c r="E36" t="s">
        <v>366</v>
      </c>
    </row>
    <row r="37" spans="1:5">
      <c r="A37" s="28" t="s">
        <v>362</v>
      </c>
      <c r="B37">
        <v>10</v>
      </c>
      <c r="C37">
        <v>13</v>
      </c>
      <c r="D37">
        <v>16</v>
      </c>
      <c r="E37">
        <v>39</v>
      </c>
    </row>
    <row r="38" spans="1:5">
      <c r="A38" s="28" t="s">
        <v>37</v>
      </c>
      <c r="B38">
        <v>16</v>
      </c>
      <c r="C38">
        <v>16</v>
      </c>
      <c r="D38">
        <v>29</v>
      </c>
      <c r="E38">
        <v>61</v>
      </c>
    </row>
    <row r="39" spans="1:5">
      <c r="A39" s="28" t="s">
        <v>366</v>
      </c>
      <c r="B39">
        <v>26</v>
      </c>
      <c r="C39">
        <v>29</v>
      </c>
      <c r="D39">
        <v>45</v>
      </c>
      <c r="E39">
        <v>100</v>
      </c>
    </row>
    <row r="41" spans="1:5">
      <c r="B41" s="27" t="s">
        <v>367</v>
      </c>
    </row>
    <row r="42" spans="1:5">
      <c r="B42" t="s">
        <v>479</v>
      </c>
      <c r="C42" t="s">
        <v>477</v>
      </c>
      <c r="D42" t="s">
        <v>478</v>
      </c>
      <c r="E42" t="s">
        <v>366</v>
      </c>
    </row>
    <row r="43" spans="1:5">
      <c r="A43" t="s">
        <v>482</v>
      </c>
      <c r="B43">
        <v>26</v>
      </c>
      <c r="C43">
        <v>29</v>
      </c>
      <c r="D43">
        <v>45</v>
      </c>
      <c r="E43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8486B-1555-475B-B609-265DAF02A41B}">
  <dimension ref="A1:A23"/>
  <sheetViews>
    <sheetView showGridLines="0" tabSelected="1" zoomScale="140" zoomScaleNormal="140" workbookViewId="0">
      <selection activeCell="N12" sqref="N12"/>
    </sheetView>
  </sheetViews>
  <sheetFormatPr defaultRowHeight="14.4"/>
  <cols>
    <col min="1" max="1" width="25.77734375" customWidth="1"/>
    <col min="2" max="2" width="1.44140625" customWidth="1"/>
    <col min="12" max="12" width="9.33203125" customWidth="1"/>
  </cols>
  <sheetData>
    <row r="1" spans="1:1" ht="4.2" customHeight="1">
      <c r="A1" s="38"/>
    </row>
    <row r="2" spans="1:1" ht="35.4" customHeight="1">
      <c r="A2" s="77"/>
    </row>
    <row r="3" spans="1:1" hidden="1">
      <c r="A3" s="39"/>
    </row>
    <row r="4" spans="1:1">
      <c r="A4" s="39"/>
    </row>
    <row r="5" spans="1:1">
      <c r="A5" s="39"/>
    </row>
    <row r="6" spans="1:1">
      <c r="A6" s="39"/>
    </row>
    <row r="7" spans="1:1">
      <c r="A7" s="39"/>
    </row>
    <row r="8" spans="1:1">
      <c r="A8" s="39"/>
    </row>
    <row r="9" spans="1:1">
      <c r="A9" s="39"/>
    </row>
    <row r="10" spans="1:1">
      <c r="A10" s="39"/>
    </row>
    <row r="11" spans="1:1">
      <c r="A11" s="39"/>
    </row>
    <row r="12" spans="1:1">
      <c r="A12" s="39"/>
    </row>
    <row r="13" spans="1:1">
      <c r="A13" s="39"/>
    </row>
    <row r="14" spans="1:1">
      <c r="A14" s="39"/>
    </row>
    <row r="15" spans="1:1">
      <c r="A15" s="39"/>
    </row>
    <row r="16" spans="1:1">
      <c r="A16" s="39"/>
    </row>
    <row r="17" spans="1:1">
      <c r="A17" s="39"/>
    </row>
    <row r="18" spans="1:1">
      <c r="A18" s="39"/>
    </row>
    <row r="19" spans="1:1">
      <c r="A19" s="39"/>
    </row>
    <row r="20" spans="1:1">
      <c r="A20" s="39"/>
    </row>
    <row r="21" spans="1:1">
      <c r="A21" s="39"/>
    </row>
    <row r="22" spans="1:1">
      <c r="A22" s="39"/>
    </row>
    <row r="23" spans="1:1">
      <c r="A23" s="39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Завдання 2</vt:lpstr>
      <vt:lpstr>Відділи</vt:lpstr>
      <vt:lpstr>Дані</vt:lpstr>
      <vt:lpstr>Зведена таблиця</vt:lpstr>
      <vt:lpstr>Дашборд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Andriy Chyzh</dc:creator>
  <cp:lastModifiedBy>Олег Варчак</cp:lastModifiedBy>
  <cp:lastPrinted>2026-03-03T10:18:51Z</cp:lastPrinted>
  <dcterms:created xsi:type="dcterms:W3CDTF">2024-03-03T11:20:31Z</dcterms:created>
  <dcterms:modified xsi:type="dcterms:W3CDTF">2026-05-05T07:26:27Z</dcterms:modified>
</cp:coreProperties>
</file>